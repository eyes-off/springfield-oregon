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3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springfield-oregon/FlockAuditLogs/"/>
    </mc:Choice>
  </mc:AlternateContent>
  <xr:revisionPtr revIDLastSave="86" documentId="114_{17E5B92C-74BC-4304-AA15-79A3C5C66ABC}" xr6:coauthVersionLast="47" xr6:coauthVersionMax="47" xr10:uidLastSave="{C58458FB-408A-4977-AF64-0F01099E16AD}"/>
  <bookViews>
    <workbookView xWindow="28680" yWindow="-120" windowWidth="29040" windowHeight="17520" xr2:uid="{B6240E8A-A065-4699-990A-FB137E45CDF7}"/>
  </bookViews>
  <sheets>
    <sheet name="Cover" sheetId="4" r:id="rId1"/>
    <sheet name="Log" sheetId="1" r:id="rId2"/>
    <sheet name="Searches By User" sheetId="2" r:id="rId3"/>
    <sheet name="Searches By Reason" sheetId="3" r:id="rId4"/>
    <sheet name="SearchesByTimeOfDay" sheetId="6" r:id="rId5"/>
    <sheet name="SearchesOverTime" sheetId="10" r:id="rId6"/>
  </sheets>
  <definedNames>
    <definedName name="_xlnm._FilterDatabase" localSheetId="1" hidden="1">Log!$A$1:$A$855</definedName>
    <definedName name="NativeTimeline_derived_searchDatePST">#N/A</definedName>
    <definedName name="NativeTimeline_derived_searchDatePST1">#N/A</definedName>
    <definedName name="NativeTimeline_searchDate">#N/A</definedName>
  </definedNames>
  <calcPr calcId="191029"/>
  <pivotCaches>
    <pivotCache cacheId="9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  <x15:timelineCacheRef r:id="rId9"/>
        <x15:timelineCacheRef r:id="rId1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1" i="1" l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</calcChain>
</file>

<file path=xl/sharedStrings.xml><?xml version="1.0" encoding="utf-8"?>
<sst xmlns="http://schemas.openxmlformats.org/spreadsheetml/2006/main" count="2872" uniqueCount="1256">
  <si>
    <t>id</t>
  </si>
  <si>
    <t>userId</t>
  </si>
  <si>
    <t>searchDate</t>
  </si>
  <si>
    <t>cameraCount</t>
  </si>
  <si>
    <t>reason</t>
  </si>
  <si>
    <t>investigation</t>
  </si>
  <si>
    <t>Investigative</t>
  </si>
  <si>
    <t>Investigation</t>
  </si>
  <si>
    <t>Daytime search for best result</t>
  </si>
  <si>
    <t>Stolen Vehicle</t>
  </si>
  <si>
    <t>investigative</t>
  </si>
  <si>
    <t>UUV</t>
  </si>
  <si>
    <t>Test</t>
  </si>
  <si>
    <t>uuv</t>
  </si>
  <si>
    <t>theft</t>
  </si>
  <si>
    <t>hit and run</t>
  </si>
  <si>
    <t>suspect vehicle</t>
  </si>
  <si>
    <t>warrant</t>
  </si>
  <si>
    <t>Missing person</t>
  </si>
  <si>
    <t>Theft 1</t>
  </si>
  <si>
    <t>atl</t>
  </si>
  <si>
    <t>Missing Person</t>
  </si>
  <si>
    <t>Row Labels</t>
  </si>
  <si>
    <t>Grand Total</t>
  </si>
  <si>
    <t>Count of id</t>
  </si>
  <si>
    <t>UserId</t>
  </si>
  <si>
    <t>Searches by User</t>
  </si>
  <si>
    <t>Searches by Reason</t>
  </si>
  <si>
    <t>Flock Search Audit Files</t>
  </si>
  <si>
    <t>Updated version of this document can be found at: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</si>
  <si>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</si>
  <si>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</si>
  <si>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</si>
  <si>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</si>
  <si>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</si>
  <si>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</si>
  <si>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</si>
  <si>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</si>
  <si>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</si>
  <si>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</si>
  <si>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</si>
  <si>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</si>
  <si>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</si>
  <si>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</si>
  <si>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</si>
  <si>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</si>
  <si>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</si>
  <si>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</si>
  <si>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</si>
  <si>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</si>
  <si>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</si>
  <si>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</si>
  <si>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</si>
  <si>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</si>
  <si>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</si>
  <si>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</si>
  <si>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</si>
  <si>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</si>
  <si>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</si>
  <si>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</si>
  <si>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</si>
  <si>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</si>
  <si>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</si>
  <si>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</si>
  <si>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</si>
  <si>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</si>
  <si>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</si>
  <si>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</si>
  <si>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</si>
  <si>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</si>
  <si>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</si>
  <si>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</si>
  <si>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</si>
  <si>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</si>
  <si>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</si>
  <si>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</si>
  <si>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</si>
  <si>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</si>
  <si>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</si>
  <si>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</si>
  <si>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</si>
  <si>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</si>
  <si>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</si>
  <si>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</si>
  <si>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</si>
  <si>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Time Of Date</t>
  </si>
  <si>
    <t>Search Count</t>
  </si>
  <si>
    <t>00:00:00</t>
  </si>
  <si>
    <t>00:15:00</t>
  </si>
  <si>
    <t>00:30:00</t>
  </si>
  <si>
    <t>02:15:00</t>
  </si>
  <si>
    <t>04:45:00</t>
  </si>
  <si>
    <t>05:00:00</t>
  </si>
  <si>
    <t>05:15:00</t>
  </si>
  <si>
    <t>05:30:00</t>
  </si>
  <si>
    <t>06:00:00</t>
  </si>
  <si>
    <t>06:45:00</t>
  </si>
  <si>
    <t>08:15:00</t>
  </si>
  <si>
    <t>08:45:00</t>
  </si>
  <si>
    <t>09:00:00</t>
  </si>
  <si>
    <t>09:15:00</t>
  </si>
  <si>
    <t>09:30:00</t>
  </si>
  <si>
    <t>01:30:00</t>
  </si>
  <si>
    <t>01:45:00</t>
  </si>
  <si>
    <t>02:30:00</t>
  </si>
  <si>
    <t>03:30:00</t>
  </si>
  <si>
    <t>07:15:00</t>
  </si>
  <si>
    <t>07:45:00</t>
  </si>
  <si>
    <t>02:00:00</t>
  </si>
  <si>
    <t>03:00:00</t>
  </si>
  <si>
    <t>01:00:00</t>
  </si>
  <si>
    <t>01:15:00</t>
  </si>
  <si>
    <t>04:30:00</t>
  </si>
  <si>
    <t>00:45:00</t>
  </si>
  <si>
    <t>06:15:00</t>
  </si>
  <si>
    <t>07:00:00</t>
  </si>
  <si>
    <t>04:15:00</t>
  </si>
  <si>
    <t>02:45:00</t>
  </si>
  <si>
    <t>04:00:00</t>
  </si>
  <si>
    <t>08:00:00</t>
  </si>
  <si>
    <t>08:30:00</t>
  </si>
  <si>
    <t>07:30:00</t>
  </si>
  <si>
    <t>05:45:00</t>
  </si>
  <si>
    <t>03:15:00</t>
  </si>
  <si>
    <t>06:30:00</t>
  </si>
  <si>
    <t>09:45:00</t>
  </si>
  <si>
    <t>derived-timeOfDayPST</t>
  </si>
  <si>
    <t>derived-AbbrvUserId</t>
  </si>
  <si>
    <t>(All)</t>
  </si>
  <si>
    <t>missing person</t>
  </si>
  <si>
    <t>Jun</t>
  </si>
  <si>
    <t>Jul</t>
  </si>
  <si>
    <t>Aug</t>
  </si>
  <si>
    <t>Sep</t>
  </si>
  <si>
    <t>derived-searchDatePST</t>
  </si>
  <si>
    <t xml:space="preserve">Springfield, Oregon </t>
  </si>
  <si>
    <t>cbd75729-41cb-4ef9-9292-2aaacb16bef3</t>
  </si>
  <si>
    <t>fb7d1ae3-db8c-4617-861d-2cf9a117f605</t>
  </si>
  <si>
    <t>72a96e8c-bbe8-42c0-b316-3ba5f7b5196f</t>
  </si>
  <si>
    <t>cef2b19d-858f-4d6a-97fd-946f0a9e2a7c</t>
  </si>
  <si>
    <t>10630560-d694-4892-8a2b-bc4cc6ee22dc</t>
  </si>
  <si>
    <t>loc wanted subj</t>
  </si>
  <si>
    <t>cf512d42-ea6f-4c63-84d4-4a19ad810030</t>
  </si>
  <si>
    <t>981129cc-901f-4825-8150-63679df2ca82</t>
  </si>
  <si>
    <t>fucc</t>
  </si>
  <si>
    <t>7529022c-98f7-4b2e-a45f-537576e53cb8</t>
  </si>
  <si>
    <t>7a3e9e6e-1917-421b-9b73-165d0a05bf24</t>
  </si>
  <si>
    <t>2b50057e-fc9f-4515-8eab-0235344e3864</t>
  </si>
  <si>
    <t>336b77ea-8c55-41e4-ae7b-d295e76d873b</t>
  </si>
  <si>
    <t>c2373a46-4390-4b71-99fc-086b9cbef937</t>
  </si>
  <si>
    <t>e0e73582-1e44-4f9f-9602-e12b3ec11da7</t>
  </si>
  <si>
    <t>9c54b820-26e2-492a-a686-32da685f9827</t>
  </si>
  <si>
    <t>07a8d092-9f77-45ad-b4bd-35379ed9dc57</t>
  </si>
  <si>
    <t>9a7277ac-f524-43b8-9c8a-ac07c2bd36ec</t>
  </si>
  <si>
    <t>FUCC</t>
  </si>
  <si>
    <t>96f033a8-7d2d-4f49-b586-1e4e19d9655e</t>
  </si>
  <si>
    <t>icac</t>
  </si>
  <si>
    <t>9e7f5c8a-ba4b-44bc-9b46-889795d8ff52</t>
  </si>
  <si>
    <t>7a954e93-a3ae-4a0c-b70f-f46bf22682e1</t>
  </si>
  <si>
    <t>98a65d8a-c993-4067-b67d-123814b4c2df</t>
  </si>
  <si>
    <t>118b7cad-1166-451c-a447-f71c8dcd4070</t>
  </si>
  <si>
    <t>4cd0cc17-b623-495e-897c-2c8ddb3c4d69</t>
  </si>
  <si>
    <t>sex abuse</t>
  </si>
  <si>
    <t>6671cc46-888a-4d15-97a1-b2cd3232e0c0</t>
  </si>
  <si>
    <t>affc72ee-f1ab-434f-8b5d-86fde3304b16</t>
  </si>
  <si>
    <t>dept of treas</t>
  </si>
  <si>
    <t>cb6defde-0d9a-4570-95a6-c40a1e5b02ff</t>
  </si>
  <si>
    <t>burg</t>
  </si>
  <si>
    <t>540f8adc-fd6a-47af-8223-2b0dfb9baea3</t>
  </si>
  <si>
    <t>a1464b11-f609-4764-8a07-849e3d9b746a</t>
  </si>
  <si>
    <t>406430ab-2ab0-4a4a-bc9a-eae273b685f0</t>
  </si>
  <si>
    <t>67a0cb4a-3b46-49fc-a786-e8419b59ca06</t>
  </si>
  <si>
    <t>9d3d0d72-0735-4dfd-bf60-0122c3069508</t>
  </si>
  <si>
    <t>Uuv</t>
  </si>
  <si>
    <t>73369a65-3a9b-4aef-a3f8-3c27c9756b09</t>
  </si>
  <si>
    <t>9f5b5e1d-b3f9-41ea-98c4-c7046804b35d</t>
  </si>
  <si>
    <t>Fucc</t>
  </si>
  <si>
    <t>c022324e-7d53-4ae7-aa51-691519b3a448</t>
  </si>
  <si>
    <t>bf385820-9b5c-4763-8441-eee1421f459f</t>
  </si>
  <si>
    <t>reckless driving</t>
  </si>
  <si>
    <t>8da47357-87c1-4428-805f-a8c87b2cb3a4</t>
  </si>
  <si>
    <t>8fae266b-5014-430e-b284-62668eb9a939</t>
  </si>
  <si>
    <t>stolen plate</t>
  </si>
  <si>
    <t>77769c6c-5ecc-4bd1-b21e-d2f1d672094e</t>
  </si>
  <si>
    <t>58cb97dd-49b6-4d84-a85a-9992298b187a</t>
  </si>
  <si>
    <t>52dd0f5f-5f6c-441d-8893-eeefbd1bd621</t>
  </si>
  <si>
    <t>stolen</t>
  </si>
  <si>
    <t>6a5665d9-8020-4167-995e-1a69acaacfb9</t>
  </si>
  <si>
    <t>a7b51659-c3c7-4683-8e30-8b5350f3a4dc</t>
  </si>
  <si>
    <t>stabbing</t>
  </si>
  <si>
    <t>648899ff-723c-43b1-a462-411843a0a183</t>
  </si>
  <si>
    <t>ea295634-29e0-41ef-ac9f-7bf440c91541</t>
  </si>
  <si>
    <t>fbfa025f-202c-4c60-ae95-9396fc290dd5</t>
  </si>
  <si>
    <t>rape</t>
  </si>
  <si>
    <t>2506875d-54bc-41c4-99cd-b5085c681f9e</t>
  </si>
  <si>
    <t>test</t>
  </si>
  <si>
    <t>7f7f6479-3a81-4899-99bc-87c0323b6c57</t>
  </si>
  <si>
    <t>fdf68e18-cae0-4f6c-a579-ecbcc7789309</t>
  </si>
  <si>
    <t>11e172b2-bbe8-4afa-ba3d-f836ab1fb220</t>
  </si>
  <si>
    <t>9fca1c7c-ca0a-4409-baf9-b5c1e412f7ad</t>
  </si>
  <si>
    <t>176ed0cc-5893-46d5-9a78-b4b37a1a95bf</t>
  </si>
  <si>
    <t>officer safety</t>
  </si>
  <si>
    <t>a96b2e8c-113b-4164-a686-61b6948fa54a</t>
  </si>
  <si>
    <t>5099fed4-b7f7-40de-b64e-73b9aa096b84</t>
  </si>
  <si>
    <t>fdb8f71d-c2ea-4d00-9bd6-8fd3230a5761</t>
  </si>
  <si>
    <t>70d554fb-e00b-4a2d-82cd-3a2dc69d2fd7</t>
  </si>
  <si>
    <t>d6f7ed99-b681-4ed0-b468-5b0c109603c9</t>
  </si>
  <si>
    <t>ofcr saf</t>
  </si>
  <si>
    <t>2e4e7de7-ec81-456a-bcc1-fe32ccb62025</t>
  </si>
  <si>
    <t>ofcr safety</t>
  </si>
  <si>
    <t>433047f1-59b6-4030-9432-96a4931833c2</t>
  </si>
  <si>
    <t>stolen car</t>
  </si>
  <si>
    <t>af512dfb-969d-463f-bb68-4a930b92ec3c</t>
  </si>
  <si>
    <t>8ea4019c-fdaf-43fe-afd9-d1f1da5ddbe4</t>
  </si>
  <si>
    <t>e38f543a-41da-442e-8ddf-74a1ab885f9c</t>
  </si>
  <si>
    <t>72c12484-ae1e-4624-85c0-588d317d4890</t>
  </si>
  <si>
    <t>44e5ae6a-0939-4121-ae65-ff231ab15309</t>
  </si>
  <si>
    <t>8a313094-05b2-4a48-a577-b127fb96f5e9</t>
  </si>
  <si>
    <t>cd359d18-5784-431c-b0e3-336479bbb9cd</t>
  </si>
  <si>
    <t>d767b8cd-ae94-43f5-a9bf-a1890f25184e</t>
  </si>
  <si>
    <t>0759d13b-53e7-44e9-bc65-53346efac45c</t>
  </si>
  <si>
    <t>87b3efb4-08f5-411b-95d7-51822b9673b8</t>
  </si>
  <si>
    <t>95587639-af0e-441b-a6ca-c36bfe239440</t>
  </si>
  <si>
    <t>aa8339b9-c6ff-447b-91c2-ec6e593b76a0</t>
  </si>
  <si>
    <t>d29e7914-f37a-46b0-b925-7bad720403f1</t>
  </si>
  <si>
    <t>73358473-6d42-4c6e-9781-36befb8c01a4</t>
  </si>
  <si>
    <t>11d1f55b-b929-4a93-8321-d00811c689ab</t>
  </si>
  <si>
    <t>1ad46919-c2b8-4758-9e9a-55c496f59df2</t>
  </si>
  <si>
    <t>865aaa25-37fd-44f2-8f3d-19f07c199275</t>
  </si>
  <si>
    <t>stolen vehicle</t>
  </si>
  <si>
    <t>42a67fa4-ae87-45d3-a1e6-045c663aaa0d</t>
  </si>
  <si>
    <t>ac71bbe8-72be-4831-9278-69c99e5b92c4</t>
  </si>
  <si>
    <t>b0e49021-e782-44e1-bf76-12812476e834</t>
  </si>
  <si>
    <t>01b52c2e-4688-4795-99d0-73acf2527701</t>
  </si>
  <si>
    <t>d744072b-1bff-46eb-ad01-29c27abf07f8</t>
  </si>
  <si>
    <t>8d6cc21e-0e5d-46de-9ac7-e4dc7bc496f9</t>
  </si>
  <si>
    <t>safe info</t>
  </si>
  <si>
    <t>8e3d3176-6f80-48b1-8fcb-62b7e5c7bba3</t>
  </si>
  <si>
    <t>4066052f-fe96-4bcb-aee4-2b3ae873610c</t>
  </si>
  <si>
    <t>2a13d9cc-c351-4039-82c6-8c3050ac81a8</t>
  </si>
  <si>
    <t>Atm theft</t>
  </si>
  <si>
    <t>b1cb0e1a-04b3-435a-a4da-2c62de8f62cf</t>
  </si>
  <si>
    <t>dc3e3cbf-61d8-4ee0-8092-3ceb03581a38</t>
  </si>
  <si>
    <t>21982ef7-d6ee-4c85-9063-9d53c1dec20c</t>
  </si>
  <si>
    <t>ab73a004-3694-4797-b288-e59569aa831e</t>
  </si>
  <si>
    <t>Stolen vehicle</t>
  </si>
  <si>
    <t>7f44f9f1-42c5-4077-923d-5292ede3ff13</t>
  </si>
  <si>
    <t>5fd14f91-53d6-406e-aa7a-215bf5e42a27</t>
  </si>
  <si>
    <t>86c799fa-e113-4992-bbad-ab358d3e1a0a</t>
  </si>
  <si>
    <t>b0dde9a7-ddcc-4817-a320-683f367e04bb</t>
  </si>
  <si>
    <t>stolen veh</t>
  </si>
  <si>
    <t>0d68a95c-be72-4311-9c36-c1aef595319e</t>
  </si>
  <si>
    <t>uuv 2504317</t>
  </si>
  <si>
    <t>dcca9911-aa29-4880-a7db-6f0844e362e7</t>
  </si>
  <si>
    <t>flock test usage</t>
  </si>
  <si>
    <t>20c0c4be-d012-4880-912c-f2dd5a25e0aa</t>
  </si>
  <si>
    <t>50a7412e-80b0-4cbf-a1cd-fce8b76edf5c</t>
  </si>
  <si>
    <t>60e012f5-7340-49d4-aa4e-6a68be107dcf</t>
  </si>
  <si>
    <t>9aeb10e7-d598-434c-9dc4-9b1f07b022e7</t>
  </si>
  <si>
    <t>fc7d8a7e-da8f-4ea1-8d44-5acbdc1a7972</t>
  </si>
  <si>
    <t>flock test</t>
  </si>
  <si>
    <t>df4a5d2e-b952-4408-9bf9-caf63a865f9d</t>
  </si>
  <si>
    <t>bd053b0f-af8c-4cf8-9cd5-f906b5bceffd</t>
  </si>
  <si>
    <t>FLOCK TEST</t>
  </si>
  <si>
    <t>ea15d7b4-3ec0-4d3d-b361-e44c5c784f22</t>
  </si>
  <si>
    <t>460543ea-4cf9-425e-9e90-55f182e28eeb</t>
  </si>
  <si>
    <t>47f5c30a-17d1-424c-9666-948064d33fd0</t>
  </si>
  <si>
    <t>harassment</t>
  </si>
  <si>
    <t>f20e205e-bed2-4254-a314-1cf6566e1e84</t>
  </si>
  <si>
    <t>MISSING PERSON</t>
  </si>
  <si>
    <t>71e6a4ec-11be-46ab-ae1d-b98cdd8925d6</t>
  </si>
  <si>
    <t>ea3016d2-ec86-4304-b5a6-4386ccd63221</t>
  </si>
  <si>
    <t>DA Investigator</t>
  </si>
  <si>
    <t>4c3d7b38-265a-46c8-8ca7-64d556270bc4</t>
  </si>
  <si>
    <t>b9c2ff7a-ae54-4371-9fc8-71990005b8b9</t>
  </si>
  <si>
    <t>attempted uuv</t>
  </si>
  <si>
    <t>e29229c6-9016-4676-a450-eb505d21c897</t>
  </si>
  <si>
    <t>265af370-c870-4b45-a7ee-bb89f295a17d</t>
  </si>
  <si>
    <t>bd860c63-b4b0-4fb8-90ce-7a06e61c9bbc</t>
  </si>
  <si>
    <t>0c185dce-8f67-4b61-86db-31c477843c29</t>
  </si>
  <si>
    <t>7ce4240b-8816-4189-991f-4cbdea27dbfe</t>
  </si>
  <si>
    <t>fc8596ff-2949-4b4b-bb52-87aa9a1bd0e6</t>
  </si>
  <si>
    <t>5eaf919c-7391-4e52-8834-085c28b95bc2</t>
  </si>
  <si>
    <t>ATT UUV</t>
  </si>
  <si>
    <t>b4a81b5c-5214-4726-a23e-ea3fabba5e10</t>
  </si>
  <si>
    <t>menacing with a</t>
  </si>
  <si>
    <t>f41013bf-cf26-4c4f-9c93-09e2d4f7ea84</t>
  </si>
  <si>
    <t>menacing with a gun</t>
  </si>
  <si>
    <t>e0f53b81-6d99-411b-b09c-301526b4ff7e</t>
  </si>
  <si>
    <t>5db0b69a-8401-464f-92fe-4364df6a2a82</t>
  </si>
  <si>
    <t>shooting</t>
  </si>
  <si>
    <t>12b791c5-106b-4660-920d-67c231151a2f</t>
  </si>
  <si>
    <t>d83ad9a5-c3bc-43e2-a842-cad970196187</t>
  </si>
  <si>
    <t>54027113-87d4-4486-abd8-fd6dd6009acd</t>
  </si>
  <si>
    <t>assault</t>
  </si>
  <si>
    <t>f2bf4cd4-9efa-4967-927b-f5fc6de1dd00</t>
  </si>
  <si>
    <t>STOLEN</t>
  </si>
  <si>
    <t>a14413b1-55ee-43fd-819f-455584a1aa28</t>
  </si>
  <si>
    <t>fire inv</t>
  </si>
  <si>
    <t>d16304ff-3819-46aa-9746-9865f68ae0ee</t>
  </si>
  <si>
    <t>7bc2bc0d-8d10-46d3-a5f5-57fcfe03aacf</t>
  </si>
  <si>
    <t>c9e0cdb0-74e0-4afe-bdff-2cc5fd6a2a05</t>
  </si>
  <si>
    <t>suspect</t>
  </si>
  <si>
    <t>19f13259-f971-4154-bd9c-dc794e867402</t>
  </si>
  <si>
    <t>5d4f9692-d5d1-4013-aabc-8c436c4c7675</t>
  </si>
  <si>
    <t>a6034598-e792-4262-9e59-c877f5af4f73</t>
  </si>
  <si>
    <t>925f3eb6-170b-47c3-95a2-2bf0a170611f</t>
  </si>
  <si>
    <t>d5bbd664-30ba-4b4a-8060-b2d224c48354</t>
  </si>
  <si>
    <t>72d846eb-c44e-4bae-a861-6e2d24f613e4</t>
  </si>
  <si>
    <t>Fire</t>
  </si>
  <si>
    <t>bf28f864-478b-446f-9cf9-7d59ca45116e</t>
  </si>
  <si>
    <t>770d7191-27dd-4cc5-949b-b2c0b02fcf81</t>
  </si>
  <si>
    <t>68bcf21b-fa6c-4759-9d5a-af7bd0e40c7c</t>
  </si>
  <si>
    <t>fe9eccf2-25b2-4de0-8ae9-f0faa8d2bde9</t>
  </si>
  <si>
    <t>17ab8242-d52a-4131-8b9e-ed8d3174a99c</t>
  </si>
  <si>
    <t>Murder</t>
  </si>
  <si>
    <t>f27db90a-1962-4d16-be94-b713cf23d9f5</t>
  </si>
  <si>
    <t>df11f0cf-d3aa-484e-8d1c-f6b27a5632e6</t>
  </si>
  <si>
    <t>84f895ea-abe5-4492-bd60-dd8d0f6654e9</t>
  </si>
  <si>
    <t>ef02dec6-02c1-4d32-9779-031cadcb3ee9</t>
  </si>
  <si>
    <t>88efe4ae-9f94-4133-8f87-856962a0c911</t>
  </si>
  <si>
    <t>6821cb2f-5b3a-4bca-aec7-873a9845d93f</t>
  </si>
  <si>
    <t>482358c8-955d-4c1e-b4cb-090fcde58dcf</t>
  </si>
  <si>
    <t>9182239b-3d2f-48d2-b7eb-1c97abd90afe</t>
  </si>
  <si>
    <t>723c2074-7dad-485a-a4b3-e7c9a65ba835</t>
  </si>
  <si>
    <t>8263285a-c011-478d-9698-4154537b1d47</t>
  </si>
  <si>
    <t>4c648ee3-3f89-4698-aad8-1ff9072c38c4</t>
  </si>
  <si>
    <t>9ad9b748-d47a-4abf-82d8-85e43d6b10fd</t>
  </si>
  <si>
    <t>25-4567</t>
  </si>
  <si>
    <t>68da60c8-24d0-4a8b-9f59-a7a9c6c605ec</t>
  </si>
  <si>
    <t>e5188d48-a162-45c2-83ce-ea3145203677</t>
  </si>
  <si>
    <t>35eb290b-74cc-42b0-9971-e8d664ec71c7</t>
  </si>
  <si>
    <t>f90cf408-3b70-459e-848e-bdbfcb7dfa40</t>
  </si>
  <si>
    <t>dff539cd-f1ac-44d6-a6e0-6e25944aa5e1</t>
  </si>
  <si>
    <t>GRID SEARCH FOR LV/</t>
  </si>
  <si>
    <t>ba084469-548f-4029-9e44-e1b12f57b059</t>
  </si>
  <si>
    <t>GRID SEARCH FOR LV</t>
  </si>
  <si>
    <t>9ed8ad2c-dad1-4e5d-b393-c6631081bf8c</t>
  </si>
  <si>
    <t>c33e5473-9a85-427e-84cb-2a8e547a265f</t>
  </si>
  <si>
    <t>1711a628-2972-42bf-af54-9d5d9267575c</t>
  </si>
  <si>
    <t>5afbfda2-294a-440c-8b96-3d2f66cb8ac8</t>
  </si>
  <si>
    <t>c2207db0-d404-421e-82ae-c0b30b7766e8</t>
  </si>
  <si>
    <t>04bbe4ac-5109-4a46-92b5-5b7bcb6fb127</t>
  </si>
  <si>
    <t>41b8cfe2-75fb-4a84-8a30-4969e0d2542f</t>
  </si>
  <si>
    <t>6ca426d3-9088-4edf-a722-42c6b1ea0bce</t>
  </si>
  <si>
    <t>5c06fd05-1848-4963-be1e-9fba2ee654cb</t>
  </si>
  <si>
    <t>1d0df58b-d072-418f-ad47-6f56956ee6fb</t>
  </si>
  <si>
    <t>04878c56-7ead-4628-968a-4cd24f33dacc</t>
  </si>
  <si>
    <t>ddee8c42-e35b-43b4-947d-2c7cb802f3e3</t>
  </si>
  <si>
    <t>f635fd7b-caef-46ae-9d24-9c06b2958138</t>
  </si>
  <si>
    <t>a95c575d-a91c-4360-a834-98306741042e</t>
  </si>
  <si>
    <t>d315c7c5-3fa7-4396-a5bf-f549fa3e4091</t>
  </si>
  <si>
    <t>9c8ee700-7ced-41b6-b5df-e76840c5c1bb</t>
  </si>
  <si>
    <t>d7d27195-643c-43ab-9648-6b935fbfb88b</t>
  </si>
  <si>
    <t>f256b227-4969-4b96-9ff4-996451304c50</t>
  </si>
  <si>
    <t>a9d66e47-d3a1-4a57-be28-cce9b1545638</t>
  </si>
  <si>
    <t>671b4aaf-659f-4751-b186-2cc5922f2c39</t>
  </si>
  <si>
    <t>98ca8000-16e9-480a-ba31-138f0814171f</t>
  </si>
  <si>
    <t>05325642-29b2-4ffe-b9c1-e9315c8b1423</t>
  </si>
  <si>
    <t>8c96bc24-6c0b-4f64-b83a-517c91283069</t>
  </si>
  <si>
    <t>9a156857-64ad-4fad-a1f9-8f326f49dc22</t>
  </si>
  <si>
    <t>UUV TRACKING</t>
  </si>
  <si>
    <t>03258545-5436-4abb-ac99-42f52916129f</t>
  </si>
  <si>
    <t>42a9846a-b06a-4b21-8fb2-36fc24e69f80</t>
  </si>
  <si>
    <t>training</t>
  </si>
  <si>
    <t>1d8081ce-4f43-496a-a955-b65b55253f12</t>
  </si>
  <si>
    <t>ALBANY UUF</t>
  </si>
  <si>
    <t>4b4a8da6-d306-4378-8aa4-1e9e2f3f3cf9</t>
  </si>
  <si>
    <t>ALBANY UUV</t>
  </si>
  <si>
    <t>ebfb7ace-82b7-4df1-84cd-aa3d5ec3546a</t>
  </si>
  <si>
    <t>DA Investigator Request</t>
  </si>
  <si>
    <t>d302296e-cc30-4e4f-8e7c-40f81ec3dabc</t>
  </si>
  <si>
    <t>5ee3186f-5f1e-497a-9e2f-6e401da310f1</t>
  </si>
  <si>
    <t>f1d3aaf3-8cdc-41bc-a987-d904caeb046b</t>
  </si>
  <si>
    <t>25df297e-8272-4430-99cc-ca1eeffec965</t>
  </si>
  <si>
    <t>robbery</t>
  </si>
  <si>
    <t>dc8485e3-b02b-435c-b708-932b31da6ffb</t>
  </si>
  <si>
    <t>34be7fe0-142b-4b38-b4ce-127f23994aa8</t>
  </si>
  <si>
    <t>befe03b9-74c4-4aa5-becb-361126a9f6b1</t>
  </si>
  <si>
    <t>6fdd3701-3756-4362-9649-597d29d2a597</t>
  </si>
  <si>
    <t>f16594d4-670a-46be-83a0-25d66fdce45e</t>
  </si>
  <si>
    <t>f43642cd-7871-4412-a8b9-145ea8144755</t>
  </si>
  <si>
    <t>uuv case</t>
  </si>
  <si>
    <t>4266ab87-bad5-47ac-b1d5-ad0f4650b3a3</t>
  </si>
  <si>
    <t>06fadec3-8d15-4eb1-9808-628f80517104</t>
  </si>
  <si>
    <t>Rob</t>
  </si>
  <si>
    <t>38215e9f-2b5c-4e9b-9f48-db471cc4f64a</t>
  </si>
  <si>
    <t>Hom</t>
  </si>
  <si>
    <t>1c64f985-fdb3-467e-8d77-2cf7d23806ab</t>
  </si>
  <si>
    <t>e8df5f96-5d79-4fa8-a161-35eb0c372b61</t>
  </si>
  <si>
    <t>dc440204-b353-4e4d-a764-39b20fb4fc48</t>
  </si>
  <si>
    <t>162b0343-b201-4005-b31c-0555bcc14d1c</t>
  </si>
  <si>
    <t>homicide</t>
  </si>
  <si>
    <t>77516ea4-3523-489b-857b-94d3604e96f9</t>
  </si>
  <si>
    <t>e1388e95-b014-4e9d-9399-8018c5767da3</t>
  </si>
  <si>
    <t>3b949d18-ecdb-47d3-a740-08f930b58af7</t>
  </si>
  <si>
    <t>0873c040-99e9-4666-a7c7-e1ecd70ef86b</t>
  </si>
  <si>
    <t>hom</t>
  </si>
  <si>
    <t>42e15c9f-c83b-4d62-a693-b95a16c46df3</t>
  </si>
  <si>
    <t>c86de163-a101-466a-8d61-3c83525604d7</t>
  </si>
  <si>
    <t>e804e72a-3348-4c3b-918f-498bec82e254</t>
  </si>
  <si>
    <t>rob1</t>
  </si>
  <si>
    <t>5f2ec2a5-d5a2-41ec-9b9f-9a3cfd39fb9d</t>
  </si>
  <si>
    <t>Theft</t>
  </si>
  <si>
    <t>dffc5bf9-1cba-43f3-b91f-9bb782bb0b87</t>
  </si>
  <si>
    <t>6fe8d12a-c554-42a9-b903-5c394348ee21</t>
  </si>
  <si>
    <t>vinyl theft</t>
  </si>
  <si>
    <t>68dc1881-f886-49b3-af19-e36ffcb9e2e9</t>
  </si>
  <si>
    <t>5ee66091-4be7-40c3-accb-ef2cd046f841</t>
  </si>
  <si>
    <t>6a038d9b-d094-4250-95d2-4902c79f7075</t>
  </si>
  <si>
    <t>miss pers</t>
  </si>
  <si>
    <t>613e7f8e-53e7-4c3c-9aa3-7920fa295da2</t>
  </si>
  <si>
    <t>df383513-2a17-4e10-8f30-5860ba1a1006</t>
  </si>
  <si>
    <t>3ccf1fc3-9c7f-44b8-8718-79f1612d5767</t>
  </si>
  <si>
    <t>78aafa80-ec4b-4413-90d4-4348b2dc5f18</t>
  </si>
  <si>
    <t>27c190c5-443a-467b-8ab5-3cfcc7b9aa6e</t>
  </si>
  <si>
    <t>theft suspect</t>
  </si>
  <si>
    <t>79f16eaf-e0ce-4a87-84e4-8a9dc45e0595</t>
  </si>
  <si>
    <t>964a25f5-306f-43b1-913e-916f7807367c</t>
  </si>
  <si>
    <t>29fc9ff6-d4bb-4885-b499-256771ba3460</t>
  </si>
  <si>
    <t>6d2d86c1-2a38-4fa2-ace4-f91f1c6b8b57</t>
  </si>
  <si>
    <t>0f1767be-ce21-4bf1-a439-bf811306a954</t>
  </si>
  <si>
    <t>933004ab-c128-435f-a3c4-b31587914e84</t>
  </si>
  <si>
    <t>de6c7ff9-4f51-4bfe-a291-cc7287d08154</t>
  </si>
  <si>
    <t>7166ff3f-a3c7-4168-b4f6-737b8ea343f2</t>
  </si>
  <si>
    <t>5ea45bd4-a837-4a57-97ba-79d0fa273335</t>
  </si>
  <si>
    <t>df97348f-7d03-4a62-8cbe-ea7ee6d9d1f7</t>
  </si>
  <si>
    <t>81a3b21e-a4d8-4e31-9a64-0f05bc2ab91c</t>
  </si>
  <si>
    <t>4f78f2d5-dc20-4dbc-a09f-e9ab3857e9b0</t>
  </si>
  <si>
    <t>9a206a29-2c64-498e-bf87-cb74685b30a4</t>
  </si>
  <si>
    <t>dbb22b22-a2b2-4cf4-b408-bbf48c834256</t>
  </si>
  <si>
    <t>4c75db10-b3e8-4625-b99a-988b2ac1750f</t>
  </si>
  <si>
    <t>da invest request</t>
  </si>
  <si>
    <t>87193054-9a8a-4a54-b726-7986bd087953</t>
  </si>
  <si>
    <t>Treasury Request</t>
  </si>
  <si>
    <t>1c7f558a-1f16-4276-a18f-7a893d866003</t>
  </si>
  <si>
    <t>70b6cff6-f448-4c5a-b1f4-4c422285fd85</t>
  </si>
  <si>
    <t>4da02cfe-aaca-45b3-921f-5e335a3cf120</t>
  </si>
  <si>
    <t>uuv 2518772</t>
  </si>
  <si>
    <t>00a9cc9e-f40b-4294-a35b-e0cc212c75ec</t>
  </si>
  <si>
    <t>mybrrm</t>
  </si>
  <si>
    <t>3a3e34af-ed0b-4545-9af7-3124171befdd</t>
  </si>
  <si>
    <t>f839fc72-e203-4191-a99f-269244ad9383</t>
  </si>
  <si>
    <t>65e0d73f-b28f-4340-9e12-36a28757d541</t>
  </si>
  <si>
    <t>stolen vehic</t>
  </si>
  <si>
    <t>666f9c8b-2cad-4d0a-9310-8817835e7516</t>
  </si>
  <si>
    <t>335e106a-a46e-4083-864e-c43d8da75fca</t>
  </si>
  <si>
    <t>457ca0da-eb1c-44fe-91e3-ba4dbe778681</t>
  </si>
  <si>
    <t>04abda84-a876-4db4-8f0a-500800030522</t>
  </si>
  <si>
    <t>a4f05405-3f55-4fd7-a1c0-dbe115e8e24f</t>
  </si>
  <si>
    <t>fbf30d4d-da6b-4ab0-846e-997d9fc723d4</t>
  </si>
  <si>
    <t>THEFT</t>
  </si>
  <si>
    <t>05c18a2a-d6e3-4755-a9f2-9a05d3a05255</t>
  </si>
  <si>
    <t>f0faebdc-8cca-4c4c-bac2-9b8449018eb1</t>
  </si>
  <si>
    <t>b5d0450b-b45c-4b77-b5ac-d93aa49fcd9b</t>
  </si>
  <si>
    <t>f6b92db8-d498-4995-8101-d7c8e8c3b330</t>
  </si>
  <si>
    <t>e3b6ff99-78e5-4a18-8104-83f88de30f34</t>
  </si>
  <si>
    <t>cab9946e-9342-487d-8ad7-517f1e879b51</t>
  </si>
  <si>
    <t>0d8c9ab3-8d26-4144-a540-fe735c66a19b</t>
  </si>
  <si>
    <t>6ed77928-7552-470b-8ad5-8e8c653d9e01</t>
  </si>
  <si>
    <t>7364493d-aeb6-4da7-a85e-c9d8f263a962</t>
  </si>
  <si>
    <t>02e37211-c0ad-4ea0-8866-f066fcab8d88</t>
  </si>
  <si>
    <t>6f6c63d0-c0d4-406c-b12e-01bd8d866452</t>
  </si>
  <si>
    <t>211dff1d-2c9e-4dc4-a90b-90ff0cb25048</t>
  </si>
  <si>
    <t>7e5c454d-d45f-421f-aae8-f8f40b5078d3</t>
  </si>
  <si>
    <t>2cd2efc8-864a-4907-a8c0-e61d5c7a5400</t>
  </si>
  <si>
    <t>2505004 missing person</t>
  </si>
  <si>
    <t>96a871fc-6f75-46f5-b86c-80d888566dcc</t>
  </si>
  <si>
    <t>murder</t>
  </si>
  <si>
    <t>7b62779e-68bb-4337-9ab2-25d945f67e49</t>
  </si>
  <si>
    <t>8eca698f-3008-4022-ae08-06999f3a349a</t>
  </si>
  <si>
    <t>Follow Up</t>
  </si>
  <si>
    <t>d2566d5e-8ebd-4ce0-9132-ed1498aa6f8c</t>
  </si>
  <si>
    <t>2d289069-b7da-4d28-bc40-9ad5eb3f1611</t>
  </si>
  <si>
    <t>1caaf087-9ec0-4f7c-9f8e-943ccc4a7c99</t>
  </si>
  <si>
    <t>05449398-5d6c-41d6-8fa0-15ee7754bede</t>
  </si>
  <si>
    <t>8e2a748a-253a-4507-8fd8-b71d0692c883</t>
  </si>
  <si>
    <t>19a55946-31bb-4bdd-b7c6-3889f2eb1657</t>
  </si>
  <si>
    <t>dd5359fa-ec3a-4655-9dfa-39e6335223fc</t>
  </si>
  <si>
    <t>14b255c7-931e-40f3-afe0-5de1ff403b79</t>
  </si>
  <si>
    <t>stlen</t>
  </si>
  <si>
    <t>55e347a4-b253-4434-a421-e4af578b6f3f</t>
  </si>
  <si>
    <t>8477a568-6e5b-4483-84ae-91b33c680152</t>
  </si>
  <si>
    <t>a3436267-830f-4a20-8633-fb643229ef27</t>
  </si>
  <si>
    <t>case</t>
  </si>
  <si>
    <t>bf36a4ad-770d-4384-a346-02dbacd6e34d</t>
  </si>
  <si>
    <t>e3ec4065-b03e-49ee-a93a-b90cbc839574</t>
  </si>
  <si>
    <t>f676770a-dae8-4a20-babd-c75f9e7cd427</t>
  </si>
  <si>
    <t>Stolen</t>
  </si>
  <si>
    <t>00e3b0a9-6448-4261-8995-3e926f313655</t>
  </si>
  <si>
    <t>071b5b38-aca3-47c3-a595-c826d2afbd49</t>
  </si>
  <si>
    <t>STOLEN VEHICLE</t>
  </si>
  <si>
    <t>75c79f69-a30a-4fe3-aeb3-03acec8b7451</t>
  </si>
  <si>
    <t>SUSPECT VEHICLE</t>
  </si>
  <si>
    <t>d1a77e41-9b5c-4b9a-921f-d2b99124529e</t>
  </si>
  <si>
    <t>8d467a87-2064-4876-a56e-c072d8aa45ce</t>
  </si>
  <si>
    <t>13ed50a6-699f-47a0-85d3-800fccd60a34</t>
  </si>
  <si>
    <t>theft of license plate</t>
  </si>
  <si>
    <t>d025b31e-b07b-4d71-beef-1de81f0e400a</t>
  </si>
  <si>
    <t>Rape</t>
  </si>
  <si>
    <t>65216263-8d2c-4bbf-9e5e-926f59a49841</t>
  </si>
  <si>
    <t>0f5bceaf-690e-41ab-b62c-6bfe49a3594f</t>
  </si>
  <si>
    <t>ee9aff7f-ad44-493f-88de-e85bc5d20b4f</t>
  </si>
  <si>
    <t>27647658-5bd7-4a6b-b45b-a16c0f5cf47e</t>
  </si>
  <si>
    <t>784d1134-394a-4625-b431-79cf009fc8d5</t>
  </si>
  <si>
    <t>196f9dde-9173-452d-8ed2-583e1f1e750e</t>
  </si>
  <si>
    <t>30386e1c-02f3-48e4-b84a-07fa9ffe057c</t>
  </si>
  <si>
    <t>60a151f8-b215-4717-ae32-9770c17018ba</t>
  </si>
  <si>
    <t>279044b7-a6e4-40d2-859b-685902c3787e</t>
  </si>
  <si>
    <t>a265b6ca-b4e4-424e-ac52-81d1dc6b978e</t>
  </si>
  <si>
    <t>d1afd7f5-88c9-4649-a39d-51f351ac3ec6</t>
  </si>
  <si>
    <t>cbb636d6-36d5-4fa0-943e-a7076321313e</t>
  </si>
  <si>
    <t>989a0968-a407-4100-be3f-1f74491f008f</t>
  </si>
  <si>
    <t>4ebc7753-4289-45a5-80e0-94be0a1fff7b</t>
  </si>
  <si>
    <t>cd21769a-921d-4495-8ede-746c395ad910</t>
  </si>
  <si>
    <t>2143d48a-cd6b-46c1-bb5b-29892d05210d</t>
  </si>
  <si>
    <t>elude</t>
  </si>
  <si>
    <t>3ae76de3-8bc1-4e10-be2a-dc7ba0825aa8</t>
  </si>
  <si>
    <t>a4c34cb7-c99b-49c6-bbf1-e2fbfc9efcd7</t>
  </si>
  <si>
    <t>ELUDE</t>
  </si>
  <si>
    <t>8e2d3350-0570-42a0-83bd-e9fcf9d7594a</t>
  </si>
  <si>
    <t>648e8d89-150b-41cc-a7dc-7f0544eea5c4</t>
  </si>
  <si>
    <t>5a00619d-4083-404d-bbbb-04cc818f1a3b</t>
  </si>
  <si>
    <t>77006d98-bf30-4366-9bd0-1d95cb62e4a8</t>
  </si>
  <si>
    <t>5717d89e-cdf9-4402-be04-68ac49f9ef2f</t>
  </si>
  <si>
    <t>09ac8142-875f-41a2-a083-027c1cc39c43</t>
  </si>
  <si>
    <t>f34514c0-a4ff-43b5-bb32-7ad769289568</t>
  </si>
  <si>
    <t>0e8ecca7-b160-48c7-a4b5-40e903392e23</t>
  </si>
  <si>
    <t>ATL Vehicle</t>
  </si>
  <si>
    <t>7a9f4619-b819-46fa-ae00-757b06a32183</t>
  </si>
  <si>
    <t>OPEN ATL</t>
  </si>
  <si>
    <t>c3458120-264a-463e-8439-4fe14e9cabbd</t>
  </si>
  <si>
    <t>efb4c0ee-ba57-4b0f-9862-d9c1f77d54f8</t>
  </si>
  <si>
    <t>Shooting suspect</t>
  </si>
  <si>
    <t>0d795ec5-e035-4dd2-8024-83743d98888c</t>
  </si>
  <si>
    <t>shooting suspect</t>
  </si>
  <si>
    <t>95d1306f-f8f3-4d39-9f42-08353b4eab3c</t>
  </si>
  <si>
    <t>79b07429-2750-4076-89f3-7187237adf69</t>
  </si>
  <si>
    <t>bd9414af-160a-4fd2-8c5b-64c730a737b8</t>
  </si>
  <si>
    <t>290cbb7d-858f-4f2a-a4a0-745c4e2575a2</t>
  </si>
  <si>
    <t>ba8f8729-bb79-416b-9963-9fa9b23f411c</t>
  </si>
  <si>
    <t>ACTIVE ATL</t>
  </si>
  <si>
    <t>323e0aeb-ae44-4dd3-9360-cf1686c848d2</t>
  </si>
  <si>
    <t>ACTIVE A</t>
  </si>
  <si>
    <t>1fc02cd1-33a6-4d14-a113-cfe02cba8293</t>
  </si>
  <si>
    <t>1b4b0575-d98a-4909-b389-a6188c57ef74</t>
  </si>
  <si>
    <t>0728bc68-90bd-412d-a351-4e44bd43fe69</t>
  </si>
  <si>
    <t>f8190ed6-235f-479b-87ef-78e2a655b8fa</t>
  </si>
  <si>
    <t>73273ca1-245a-42a3-993e-f8d15aaeae64</t>
  </si>
  <si>
    <t>92811fe2-772c-485e-b009-c0349817e9e9</t>
  </si>
  <si>
    <t>56a5e9d3-ffce-41e6-8a6f-8cdc7cc058fe</t>
  </si>
  <si>
    <t>59c489b4-d7c0-4b07-80e4-c24109ac1336</t>
  </si>
  <si>
    <t>a79d7f34-6364-4f6d-ae9d-ca80c0d445c4</t>
  </si>
  <si>
    <t>25-5236</t>
  </si>
  <si>
    <t>9986401c-0767-4065-b9f9-f8763faa41d2</t>
  </si>
  <si>
    <t>f9cbb0af-56b1-4ff8-9a9e-f8d055aafbed</t>
  </si>
  <si>
    <t>5827e7e4-9509-4181-b180-b4ebdc54cbf1</t>
  </si>
  <si>
    <t>2793d112-9c3e-4a37-a236-81f2ef5347b5</t>
  </si>
  <si>
    <t>670cf3eb-2c6f-44c3-86dd-11fecb8540e6</t>
  </si>
  <si>
    <t>4e701f20-ecbd-416c-aa33-989f5c301248</t>
  </si>
  <si>
    <t>dc46c14f-0efd-4ceb-afed-26270bfd8178</t>
  </si>
  <si>
    <t>d37d67f4-b656-4d29-8d8e-20f0a00ca966</t>
  </si>
  <si>
    <t>75326fc0-72f6-434e-bfa9-78de7ee2cefe</t>
  </si>
  <si>
    <t>390c34fc-169a-4122-b91c-e183fa1de770</t>
  </si>
  <si>
    <t>0f44a3dc-1bff-406a-bbee-6eb99d232961</t>
  </si>
  <si>
    <t>38c58f98-a4f0-4a22-bcf2-bd966fae82cc</t>
  </si>
  <si>
    <t>740287bd-688e-4331-8557-63ca35dd790b</t>
  </si>
  <si>
    <t>08384b86-8d8c-40d4-9fec-f92a43633693</t>
  </si>
  <si>
    <t>683e649f-1091-4c83-a354-111ac415d823</t>
  </si>
  <si>
    <t>68538b4d-bbce-43cc-9e61-654aca02faab</t>
  </si>
  <si>
    <t>25-5385</t>
  </si>
  <si>
    <t>9c6dc741-1226-4e48-84ac-c52a96656dae</t>
  </si>
  <si>
    <t>c03b37bb-7617-4091-8252-6be0037e503e</t>
  </si>
  <si>
    <t>7f24d739-8c0b-438b-9176-c3258a2637b5</t>
  </si>
  <si>
    <t>6a3097c3-2e5c-45f4-b3a0-08fc3286919d</t>
  </si>
  <si>
    <t>93c8a8eb-573f-4b40-b20d-1d2f65e057c6</t>
  </si>
  <si>
    <t>susp cond</t>
  </si>
  <si>
    <t>a1cea377-61b7-4f2e-b4f1-a133141523c2</t>
  </si>
  <si>
    <t>80ba5774-d04a-4d9c-90ca-b7455bd51f81</t>
  </si>
  <si>
    <t>084c272d-8992-4f96-b18a-fd6f062973c5</t>
  </si>
  <si>
    <t>53c44430-644f-438a-8ae5-d5c38753b135</t>
  </si>
  <si>
    <t>b22a6eae-c4c5-4e58-97f6-d5a373f1d7bf</t>
  </si>
  <si>
    <t>da invest req</t>
  </si>
  <si>
    <t>64237d9d-6c6c-44da-87ef-dc922fec5ab7</t>
  </si>
  <si>
    <t>a04209d0-213f-499b-af79-b99a935b905a</t>
  </si>
  <si>
    <t>31adcffc-5cf3-41cd-85f2-3dc49d3812f6</t>
  </si>
  <si>
    <t>e36a9941-45fd-4b06-968c-2efb5d47ab01</t>
  </si>
  <si>
    <t>4f0ea4ac-825f-4bc2-acb1-f22585a5e829</t>
  </si>
  <si>
    <t>300bf6bb-bd02-4a10-9d61-108d78c85ed8</t>
  </si>
  <si>
    <t>2db4d22b-4d5e-4417-b04f-b60bf6e14787</t>
  </si>
  <si>
    <t>eea5d5c7-df96-49a2-8336-7016bfa11033</t>
  </si>
  <si>
    <t>180643df-99a6-49cb-ae8d-f6c8fbfdf67b</t>
  </si>
  <si>
    <t>42611678-950e-42a8-b7c0-fec9b9abf804</t>
  </si>
  <si>
    <t>dfd11572-2d13-4bc2-b66f-e94cdf74774c</t>
  </si>
  <si>
    <t>bcd69dc0-e504-4d95-965d-01b922e08982</t>
  </si>
  <si>
    <t>e4c62a0f-af1f-4883-a16a-bf93de970c28</t>
  </si>
  <si>
    <t>6c2b0e6a-557f-4243-a9e9-6eec1b5e3de8</t>
  </si>
  <si>
    <t>babdd685-6cb7-4e5c-8296-b6a6aa9bcb75</t>
  </si>
  <si>
    <t>2308a562-fe81-4c3e-aad6-83e7af2a5bc9</t>
  </si>
  <si>
    <t>9f041b23-8182-4d73-9631-bf2b556c67f0</t>
  </si>
  <si>
    <t>5e0faac5-6371-4002-8b69-680cf86cbfc8</t>
  </si>
  <si>
    <t>dc3804ff-8d31-4bc9-b5cf-e4d7f4f615f0</t>
  </si>
  <si>
    <t>f07853c0-a794-434b-b02b-92d6c4285a69</t>
  </si>
  <si>
    <t>cca81f8e-e0b5-445d-afc0-dbefaa044bc5</t>
  </si>
  <si>
    <t>9b6d58cd-d51c-4f37-ba8d-29ab545085a1</t>
  </si>
  <si>
    <t>efdce85f-2c0c-498a-b488-254717765ed8</t>
  </si>
  <si>
    <t>3463b87f-e6d7-40a4-9c9b-acb83590331d</t>
  </si>
  <si>
    <t>08773f00-18e7-4446-adb0-d090bafcca10</t>
  </si>
  <si>
    <t>5ad162fa-355d-411a-a4e0-b533a7a95da5</t>
  </si>
  <si>
    <t>unsigned stolen</t>
  </si>
  <si>
    <t>da0f0e5a-aa7e-4ce7-b6b0-4fb67b35fed0</t>
  </si>
  <si>
    <t>cf20f9c8-a941-45d6-9b26-2e06938f66f6</t>
  </si>
  <si>
    <t>d8aa8c32-2d1a-4081-a490-1028c25acee0</t>
  </si>
  <si>
    <t>baa944eb-9ec8-4ee6-b285-50dc526baa93</t>
  </si>
  <si>
    <t>154e5978-8ec6-4f0d-99c3-4582997c91bb</t>
  </si>
  <si>
    <t>8d454930-96df-4315-8f7b-ae968c064571</t>
  </si>
  <si>
    <t>4fa9c61c-6520-4703-95cb-d5b7bf829a3b</t>
  </si>
  <si>
    <t>2cdfef40-d399-4d7e-8f59-8c37bbf761fd</t>
  </si>
  <si>
    <t>5e5cf652-c65b-46bb-9251-65bb6d56b1b4</t>
  </si>
  <si>
    <t>dda9fb78-55cf-4140-802d-d34f05c43fbb</t>
  </si>
  <si>
    <t>f361e826-38a0-4e44-a332-3b8e0652e544</t>
  </si>
  <si>
    <t>c01fe762-d6a8-4c7e-a3fe-971c8735329f</t>
  </si>
  <si>
    <t>ACTIVR ATL</t>
  </si>
  <si>
    <t>645d87fb-f587-463b-a614-b5456e795024</t>
  </si>
  <si>
    <t>a1906df5-03f3-4367-bf7f-51061cf568a6</t>
  </si>
  <si>
    <t>54d685b2-2af1-438c-939e-3abe50dd3cd3</t>
  </si>
  <si>
    <t>ort</t>
  </si>
  <si>
    <t>c9145e00-9109-4e51-8bab-6d3d4d41be7e</t>
  </si>
  <si>
    <t>ed2290bc-4456-408e-a597-284c1ae5ec00</t>
  </si>
  <si>
    <t>d295a54a-a1c4-40ab-a632-d65c3884a90c</t>
  </si>
  <si>
    <t>39643f4e-147b-4d57-bb9b-f6eb31c0ead4</t>
  </si>
  <si>
    <t>66f75625-e92d-4055-bc78-78149c0bf4a5</t>
  </si>
  <si>
    <t>b94762ec-34ba-4aa7-ad00-835fac140335</t>
  </si>
  <si>
    <t>6892ea30-0ffe-4e17-a7f3-35446199e9bd</t>
  </si>
  <si>
    <t>d5cb8ef7-2ed3-42b8-a7b4-778d844dff2c</t>
  </si>
  <si>
    <t>7115187a-d442-4067-a47c-1102906e0286</t>
  </si>
  <si>
    <t>c8c418a2-1790-455f-899e-d33a0718edf7</t>
  </si>
  <si>
    <t>52b46a12-675b-4bfb-9478-b9efed4d3505</t>
  </si>
  <si>
    <t>ad0cce28-c2da-48f5-8a3d-0162e4753757</t>
  </si>
  <si>
    <t>5bf7f437-5c1e-4134-9b2e-85b05d0018f7</t>
  </si>
  <si>
    <t>0288aa63-1d79-4daf-9d16-dfba0a10b2a7</t>
  </si>
  <si>
    <t>69f925b7-43b3-4dd8-b1ed-6835dfa2bfcc</t>
  </si>
  <si>
    <t>9f749624-adb3-4ff5-9a5d-76ce31cf3f36</t>
  </si>
  <si>
    <t>de002f66-f16a-4882-a135-5ab699948d4b</t>
  </si>
  <si>
    <t>eddf6b28-ded9-4d94-a7e9-72fe50ac693d</t>
  </si>
  <si>
    <t>91c6f3e2-d374-4b8e-9674-5758b5ee5e76</t>
  </si>
  <si>
    <t>b6987ec4-0acb-4f18-8e80-4f61d28edf11</t>
  </si>
  <si>
    <t>d1882498-4e66-41c1-be4b-78a1cb8bbcb2</t>
  </si>
  <si>
    <t>28ca2f75-22ca-44bd-b511-e2b9971075d9</t>
  </si>
  <si>
    <t>2e319bcb-28de-4637-861e-8d0870ccf3ea</t>
  </si>
  <si>
    <t>06ea91a3-2be0-4ea0-bd04-a00a4be857bd</t>
  </si>
  <si>
    <t>6b0ee0d9-cddf-4da0-a30f-653e2334792e</t>
  </si>
  <si>
    <t>a97c806f-b719-4f94-b44f-79df388ed3c3</t>
  </si>
  <si>
    <t>5c55ce1c-ead3-4689-b91f-ac6329b316b3</t>
  </si>
  <si>
    <t>93e8401b-bd3f-4ac4-ad7a-7cc808eea9e4</t>
  </si>
  <si>
    <t>a30cf46f-1601-4d89-aed1-b01fb8b88ef8</t>
  </si>
  <si>
    <t>2d4eebd6-c6c8-4d60-8a59-3a622105992c</t>
  </si>
  <si>
    <t>VA133G</t>
  </si>
  <si>
    <t>1af2f380-17fa-48c8-a109-0270e3ea9288</t>
  </si>
  <si>
    <t>public indecency</t>
  </si>
  <si>
    <t>1f5f6a89-1199-4592-bb87-5557fae377a1</t>
  </si>
  <si>
    <t>pub ind</t>
  </si>
  <si>
    <t>7c14a8f6-a3d3-4367-8ab6-e489ac2ba37d</t>
  </si>
  <si>
    <t>Pub ind</t>
  </si>
  <si>
    <t>f1128b51-dd4b-42eb-92c8-b216805280e6</t>
  </si>
  <si>
    <t>db91cfc8-4821-4ffd-b190-a746a37401e9</t>
  </si>
  <si>
    <t>8bc3f2d8-1fda-4198-bec5-aa3979e5181f</t>
  </si>
  <si>
    <t>ca720f16-8fbf-4f8a-9075-74303333ccc9</t>
  </si>
  <si>
    <t>b0c992d7-296d-4fc8-8efe-b915e74b976a</t>
  </si>
  <si>
    <t>50323291-4762-4274-9300-539ea88b56b1</t>
  </si>
  <si>
    <t>9b0d0743-d944-44c7-b9e8-702ae081c37c</t>
  </si>
  <si>
    <t>8a66f538-6b3c-4e31-b3be-0e5e3f89d130</t>
  </si>
  <si>
    <t>f19754d1-3bcd-4480-b53c-5d087d5746e5</t>
  </si>
  <si>
    <t>01866ffc-d81a-4e03-b00f-bced38c57627</t>
  </si>
  <si>
    <t>8f57b4ef-e54b-4347-8ee2-7b3298a39310</t>
  </si>
  <si>
    <t>2c166881-635f-4432-98a9-8b856cacf89b</t>
  </si>
  <si>
    <t>6a8660bb-1cd9-484d-a9ea-7180fe66c31a</t>
  </si>
  <si>
    <t>ba8a3770-eaf2-48b9-987d-c1d0ed2eda81</t>
  </si>
  <si>
    <t>131e6e90-62b8-4474-b6dc-bb0da6881ae3</t>
  </si>
  <si>
    <t>3058ac4d-b98b-4c8e-931f-001cb7ef63b9</t>
  </si>
  <si>
    <t>49c844b9-d20a-4c30-9af3-579232a9911c</t>
  </si>
  <si>
    <t>46549503-fcf9-4aa0-b0f4-a1b37a9acbf7</t>
  </si>
  <si>
    <t>2a5485fc-a143-41a7-964f-d35c6e9dc965</t>
  </si>
  <si>
    <t>0f1c181f-8214-4cf4-a0f8-38b9d4d8547b</t>
  </si>
  <si>
    <t>836659d5-98fb-43a1-b10e-3d2e29195ae3</t>
  </si>
  <si>
    <t>b59fc2f1-4215-4fb0-bbd6-8a4c42d47e6c</t>
  </si>
  <si>
    <t>f7868824-367d-49b1-908e-7d06855a4eb8</t>
  </si>
  <si>
    <t>e348fc28-541c-4902-ac74-f3c9f549588d</t>
  </si>
  <si>
    <t>3c0b8739-f1da-4c79-a203-45e0f0e5d501</t>
  </si>
  <si>
    <t>570e5b0c-a5d0-42f9-83be-7853e2c00ebb</t>
  </si>
  <si>
    <t>c0e8d135-101c-4a6b-b63a-f62c03afc7d4</t>
  </si>
  <si>
    <t>00946afe-88da-4735-829b-18e4aaa28f8f</t>
  </si>
  <si>
    <t>duii</t>
  </si>
  <si>
    <t>3fb05781-33e1-4e13-b0e9-aac02c6af2f9</t>
  </si>
  <si>
    <t>3deb1fd9-d90d-44cb-8ca0-504df30ea9da</t>
  </si>
  <si>
    <t>9f307c2d-a0e0-46e5-9e57-ff09d386e003</t>
  </si>
  <si>
    <t>2b5420a8-1629-4a70-b049-15f8d8f2b463</t>
  </si>
  <si>
    <t>871bc0f1-45fd-41d5-b5d9-a8484cabb0c3</t>
  </si>
  <si>
    <t>bcd3c3c0-9c74-48ad-8a92-2a224e8e62ec</t>
  </si>
  <si>
    <t>afc40c1e-180f-45f1-9033-ad9f7b06ef6c</t>
  </si>
  <si>
    <t>bda6cec4-c5e1-49be-bb9b-2939ed7a1632</t>
  </si>
  <si>
    <t>theft 1</t>
  </si>
  <si>
    <t>25101582-8f5c-454b-a122-8c0ba3d6233d</t>
  </si>
  <si>
    <t>57bddec6-4ff4-4dfc-a3a3-122ded51c0c5</t>
  </si>
  <si>
    <t>Active ATL</t>
  </si>
  <si>
    <t>b01c1458-1490-4e88-9499-b6d52b50d1a8</t>
  </si>
  <si>
    <t>23c5c913-caeb-419b-b0f5-f980c98298e0</t>
  </si>
  <si>
    <t>63af8c7a-7120-4d77-842e-379f776f164d</t>
  </si>
  <si>
    <t>9ceb516d-1211-469e-a891-01be051ead5d</t>
  </si>
  <si>
    <t>DA inv</t>
  </si>
  <si>
    <t>ff324789-ec4b-4f82-858d-8ac6240a68f0</t>
  </si>
  <si>
    <t>SUSPECT VEH</t>
  </si>
  <si>
    <t>8b167244-7c24-4f15-8283-c7edbd15332b</t>
  </si>
  <si>
    <t>d9b0f190-fe90-4cc1-8ee5-404357264e54</t>
  </si>
  <si>
    <t>1265a835-4df2-48c1-9b58-aa74b7f46ca0</t>
  </si>
  <si>
    <t>8d7d5013-5a03-4e75-ad73-54ea157a189e</t>
  </si>
  <si>
    <t>invesigative</t>
  </si>
  <si>
    <t>30abfd63-f339-47e1-8e40-e4c0fca5dd4e</t>
  </si>
  <si>
    <t>1ceb875c-01f1-4144-b4a4-25fa95c81167</t>
  </si>
  <si>
    <t>ddf79ff9-fe26-4475-90ab-72c0f9ec02d5</t>
  </si>
  <si>
    <t>3a26e327-2659-429f-9fe7-85292fd53f94</t>
  </si>
  <si>
    <t>64c2536c-64d6-4443-994c-726875a6b387</t>
  </si>
  <si>
    <t>e86c12cb-bf0c-427a-9655-1c69fc8d9cb8</t>
  </si>
  <si>
    <t>b0333ace-a49f-422b-b534-6fa8a356e0b3</t>
  </si>
  <si>
    <t>442afe8b-7c5d-45b8-b086-1834112f99b0</t>
  </si>
  <si>
    <t>484d7361-168c-4047-af87-7d4b2cbc3b48</t>
  </si>
  <si>
    <t>44acc374-f818-4916-90bc-6c132e727c67</t>
  </si>
  <si>
    <t>53b903be-e72c-4a1b-99f1-f34948683104</t>
  </si>
  <si>
    <t>b3be1c2b-f572-48cf-96d8-d5b7d3e50341</t>
  </si>
  <si>
    <t>6908741f-0500-490a-8dbd-8c98d6114dee</t>
  </si>
  <si>
    <t>e7e8b201-5392-4a75-a596-06fa4cf41deb</t>
  </si>
  <si>
    <t>dca843f4-d4a4-4601-b817-c0c16549096a</t>
  </si>
  <si>
    <t>714e7c6c-c313-40e3-859a-5233eae062be</t>
  </si>
  <si>
    <t>49897f20-9315-42e9-b9dc-6b6bccb44671</t>
  </si>
  <si>
    <t>674eb0de-1853-4295-8895-11a297546c64</t>
  </si>
  <si>
    <t>0e6d8dd8-4baa-4314-a7d6-62b6b9d01547</t>
  </si>
  <si>
    <t>13e34163-1857-4482-abea-facfe6d95dda</t>
  </si>
  <si>
    <t>40d52f80-e642-44c7-847c-ab625d72bfd8</t>
  </si>
  <si>
    <t>05a27f8b-b6e8-4159-a9f6-ddbc2ca19612</t>
  </si>
  <si>
    <t>1bdf3973-a1bc-4e75-8f27-f882fc8754fc</t>
  </si>
  <si>
    <t>be278e15-0865-481f-afc0-b356cf45ca6b</t>
  </si>
  <si>
    <t>Hit and run</t>
  </si>
  <si>
    <t>1e489d07-dab7-4a7c-b1a8-2991de6b6ed7</t>
  </si>
  <si>
    <t>31496210-8051-4985-8bce-53f08381ca6b</t>
  </si>
  <si>
    <t>lcso hr</t>
  </si>
  <si>
    <t>a8db9585-f02c-4c71-8b6c-cf976c7e2458</t>
  </si>
  <si>
    <t>d49289ed-84a5-43d4-9ed0-d62927a01705</t>
  </si>
  <si>
    <t>a7a0e5ff-f683-4dfe-b7cd-6599fedf065b</t>
  </si>
  <si>
    <t>bf0930af-21e2-42a4-848e-acf325795312</t>
  </si>
  <si>
    <t>5e77c468-01c3-4ee2-a4ac-1013121ef3a6</t>
  </si>
  <si>
    <t>94d6a4f4-1445-4828-b12a-32fd38de751d</t>
  </si>
  <si>
    <t>ee7884c8-85ac-4451-8b09-edfc39319a94</t>
  </si>
  <si>
    <t>c28af5dc-06d1-4432-89ac-b83cc48b004f</t>
  </si>
  <si>
    <t>a58ffd85-99c2-445f-9d16-dfcdb44a8399</t>
  </si>
  <si>
    <t>ad41ab7e-56bf-4d3d-8dd4-9776abb9e77f</t>
  </si>
  <si>
    <t>f7d40eee-5647-46f8-83fc-94ad8a2c453d</t>
  </si>
  <si>
    <t>57bd2602-2678-4fd9-ba6b-2138d827d7e3</t>
  </si>
  <si>
    <t>lcso case</t>
  </si>
  <si>
    <t>252e0831-87c6-43d4-864c-a376440e522c</t>
  </si>
  <si>
    <t>b9b276eb-ce7d-40e2-ba59-7efbaa265adf</t>
  </si>
  <si>
    <t>432ef5f4-40e7-42e1-a600-a699d4533cec</t>
  </si>
  <si>
    <t>63694ff0-ff43-4721-b53b-7b63cc92d709</t>
  </si>
  <si>
    <t>1S21</t>
  </si>
  <si>
    <t>791a4148-3823-457f-9fce-d91b2736d4fb</t>
  </si>
  <si>
    <t>840e6d3f-3163-4ce4-b878-5d270cbaa0fa</t>
  </si>
  <si>
    <t>5406586d-9adf-47c4-b271-4d7e5194470f</t>
  </si>
  <si>
    <t>463c0e15-beb7-4dc3-bb67-80022322ced7</t>
  </si>
  <si>
    <t>d1750ea5-f78a-476d-b181-b752c0aba3dd</t>
  </si>
  <si>
    <t>2dc38dcc-68e9-43a3-9317-0115beb7c814</t>
  </si>
  <si>
    <t>0952f6ee-7484-43e1-b30f-434462823a3f</t>
  </si>
  <si>
    <t>aeeae01f-6a34-4b03-a234-eec7500f5a14</t>
  </si>
  <si>
    <t>74a0573b-ae72-4059-8ab2-dc1c0a08c720</t>
  </si>
  <si>
    <t>c36ecdc3-565b-40e9-81c8-3b2e272c1789</t>
  </si>
  <si>
    <t>inestigative</t>
  </si>
  <si>
    <t>d580ea34-3c46-4aba-9ee2-a043f480cb5d</t>
  </si>
  <si>
    <t>2179bafe-dda5-480c-a4c5-527b72e55261</t>
  </si>
  <si>
    <t>ATL</t>
  </si>
  <si>
    <t>f5a28484-8f3f-4cab-9091-226ec110759e</t>
  </si>
  <si>
    <t>ffc804f3-9395-4330-892e-dc66c7581668</t>
  </si>
  <si>
    <t>6ad22657-9817-436f-9ae0-797830131262</t>
  </si>
  <si>
    <t>5843e7a3-368c-4d3f-b733-3aa4074b916a</t>
  </si>
  <si>
    <t>933fc77e-839a-4bd8-8ae3-ed22cf55a223</t>
  </si>
  <si>
    <t>32b004b9-60b8-4351-a970-b5864521877f</t>
  </si>
  <si>
    <t>84ef3e2c-f958-4aed-9e2d-f6d8632b4391</t>
  </si>
  <si>
    <t>231ba4fd-559c-45b5-b6bc-99778280aa5d</t>
  </si>
  <si>
    <t>1ebd3234-f232-4914-a784-f2f68690fa48</t>
  </si>
  <si>
    <t>ivestigative</t>
  </si>
  <si>
    <t>1c673201-80b7-4ada-93af-9b17c4b108f5</t>
  </si>
  <si>
    <t>8762a1d7-f828-4c23-96c6-0b6f24929e83</t>
  </si>
  <si>
    <t>f9eee558-d4ed-43c1-be13-78b292ac0b60</t>
  </si>
  <si>
    <t>2ee45e71-1203-4d4f-bd7e-3e2a9aaa1f17</t>
  </si>
  <si>
    <t>06390688-530e-43f8-8350-0930d52c3307</t>
  </si>
  <si>
    <t>7eb695ca-3304-43fb-9aa5-54dfb98925b5</t>
  </si>
  <si>
    <t>36d0b4cd-baee-42c6-9b9b-c39706dc4445</t>
  </si>
  <si>
    <t>investigativ</t>
  </si>
  <si>
    <t>65c92a23-7e32-4316-93f1-e20b2645dac5</t>
  </si>
  <si>
    <t>30fcf0d3-fd45-4ad4-9ecf-da1457707fb3</t>
  </si>
  <si>
    <t>ef37858d-f1bf-46a8-a284-402d3f91fe35</t>
  </si>
  <si>
    <t>65e850ed-6e92-498e-9fee-8ada0227a7d3</t>
  </si>
  <si>
    <t>622c3e73-47ce-4de0-bf1b-345a68fd0551</t>
  </si>
  <si>
    <t>b3e12708-cfd3-44ea-8520-da12af61e107</t>
  </si>
  <si>
    <t>54aeabc6-20e0-4270-8a83-06ba612cff8c</t>
  </si>
  <si>
    <t>c24dae35-b494-4d17-876c-5673c5f4858c</t>
  </si>
  <si>
    <t>ca461a73-94df-410c-b10b-f8c2be81ea26</t>
  </si>
  <si>
    <t>0880a05b-0fe1-4e9e-a825-922eecf47276</t>
  </si>
  <si>
    <t>8095a2f0-f91b-4ace-9feb-ccf01f04a387</t>
  </si>
  <si>
    <t>3caf9552-03b6-4a89-87bf-413718f10d56</t>
  </si>
  <si>
    <t>248cf76a-a70a-46ea-8491-f2c425f1361f</t>
  </si>
  <si>
    <t>pursuit</t>
  </si>
  <si>
    <t>28b1dbfd-3a59-4e5a-ad88-b885f00c9cb8</t>
  </si>
  <si>
    <t>9e6bf04f-06f2-4f2e-aff8-646e54d311d3</t>
  </si>
  <si>
    <t>c0a85dd5-a4c6-4577-9d61-10b34e986231</t>
  </si>
  <si>
    <t>FELONY DWS</t>
  </si>
  <si>
    <t>eebc8fb4-caa2-4692-913c-c821f3ff9378</t>
  </si>
  <si>
    <t>deb64e5e-0690-4b10-b929-d4d4c9fc6c25</t>
  </si>
  <si>
    <t>invetigative</t>
  </si>
  <si>
    <t>2432df29-991f-4b01-b23f-48b5d7b17071</t>
  </si>
  <si>
    <t>STOLEN VEH</t>
  </si>
  <si>
    <t>6414027e-3d16-40db-b546-5718b66a52be</t>
  </si>
  <si>
    <t>4674bfad-3110-4877-9eb0-ba1cab19cfac</t>
  </si>
  <si>
    <t>74572c78-de20-41c8-ac2a-e3691c2a5d65</t>
  </si>
  <si>
    <t>1ec1392a-e7b4-438a-b85a-6ed545735340</t>
  </si>
  <si>
    <t>71cf3096-9cca-4f30-a014-6a1c476468aa</t>
  </si>
  <si>
    <t>fa2c041d-64a5-495b-aa45-ff6d7153e779</t>
  </si>
  <si>
    <t>ATL FELONY DWS</t>
  </si>
  <si>
    <t>27fe8a4d-943b-4b05-a7b6-9ed44839442d</t>
  </si>
  <si>
    <t>STOLEN VEHICLE ATL</t>
  </si>
  <si>
    <t>54323fae-960e-4729-8fc7-aa82d84355a1</t>
  </si>
  <si>
    <t>638e2316-45ad-458a-9887-a63d657ce694</t>
  </si>
  <si>
    <t>7b1d0e2a-dec1-4646-bb00-c6c0b6b82ef6</t>
  </si>
  <si>
    <t>3680a492-f8ba-4fb3-8f16-0b4924ad0936</t>
  </si>
  <si>
    <t>0291beb9-389f-4fa6-96e3-f2084ad72ce3</t>
  </si>
  <si>
    <t>2cf02976-5540-4ffc-adeb-4c1e478f43d9</t>
  </si>
  <si>
    <t>fc18c006-38f6-4e3f-9d14-fbdc2ce6e694</t>
  </si>
  <si>
    <t>e1e65260-25e1-432f-82ba-01b9541bec25</t>
  </si>
  <si>
    <t>1d39be3e-175f-449a-b368-e50adbbb64f4</t>
  </si>
  <si>
    <t>3d877a2e-ac49-40cf-b2bc-b80809eafe59</t>
  </si>
  <si>
    <t>eeb376d8-0c22-4cce-aea3-21df70bcdbe7</t>
  </si>
  <si>
    <t>60cd739f-9ee3-430c-8da6-c28c750aa861</t>
  </si>
  <si>
    <t>56424d45-ad85-4d65-8508-fbc4340562ee</t>
  </si>
  <si>
    <t>f27545fb-0faa-4919-b136-9fca1e5701da</t>
  </si>
  <si>
    <t>7cb7fff3-4b88-4a31-b1ac-26d7b01ec93c</t>
  </si>
  <si>
    <t>RECKLESS DRIVER</t>
  </si>
  <si>
    <t>f9316ae7-adf8-42c2-87fb-4768724d4d22</t>
  </si>
  <si>
    <t>Susp veh</t>
  </si>
  <si>
    <t>c12089ff-9fd2-4dff-946f-e1912a980c42</t>
  </si>
  <si>
    <t>bbc97006-aaf3-458b-ae38-90996f8bea86</t>
  </si>
  <si>
    <t>SEX CRIME BOLO</t>
  </si>
  <si>
    <t>c09d6bbd-5f33-4197-a5ce-0121b728580b</t>
  </si>
  <si>
    <t>ba0e97d8-776a-4aae-89d9-fcc9797b9909</t>
  </si>
  <si>
    <t>072dua</t>
  </si>
  <si>
    <t>cd5d5e2e-6f27-4cfc-b27a-0f616e3ad715</t>
  </si>
  <si>
    <t>072DUA</t>
  </si>
  <si>
    <t>52d5652a-8d5a-4eda-b8e6-b893ec704244</t>
  </si>
  <si>
    <t>STOLEN ATL</t>
  </si>
  <si>
    <t>cac9f3c6-a87f-4feb-b086-9c8dcf9f60bf</t>
  </si>
  <si>
    <t>e2b234be-2651-40b7-8301-f27116967c0e</t>
  </si>
  <si>
    <t>185TWW</t>
  </si>
  <si>
    <t>3a312b53-0b63-46a8-a6d7-5b2371de2e78</t>
  </si>
  <si>
    <t>25090e80-38af-4c17-8984-2ef1f0807ddb</t>
  </si>
  <si>
    <t>48dc6b40-5f66-40e5-80d7-7f36c4eab8d7</t>
  </si>
  <si>
    <t>1c690599-cca4-4f90-9fb0-e391b19d2f78</t>
  </si>
  <si>
    <t>8d7af02f-b6b1-4a1b-b081-793d8b257cd4</t>
  </si>
  <si>
    <t>f1034bfe-d312-4967-b0af-9d1af6fe6b08</t>
  </si>
  <si>
    <t>0519aa1f-5bf1-45a5-9f56-652ebc20fc2d</t>
  </si>
  <si>
    <t>28c2d386-cc6c-4a18-9010-759aa93da319</t>
  </si>
  <si>
    <t>dd66ed8e-f5be-4395-967d-26638bfc2c12</t>
  </si>
  <si>
    <t>c6a6508c-a06b-4db3-9c1d-6893fb943b48</t>
  </si>
  <si>
    <t>9012b73b-785c-44ee-864a-dc5369caed08</t>
  </si>
  <si>
    <t>3211c96e-4b6b-4347-9028-10978c4c3343</t>
  </si>
  <si>
    <t>Stolen veh</t>
  </si>
  <si>
    <t>c1c5b9dd-09ff-455a-8355-3ef03b08dd81</t>
  </si>
  <si>
    <t>b37e744c-5cc9-40ca-b5c5-dfad92e222b9</t>
  </si>
  <si>
    <t>6bd9edc6-6552-4be6-a32b-02e3b063826d</t>
  </si>
  <si>
    <t>6f826252-2744-476f-a985-0eb16cfda9a6</t>
  </si>
  <si>
    <t>4f355877-f5ff-432b-a93c-fd31bbe64126</t>
  </si>
  <si>
    <t>fd29d808-0fc9-4bfb-8fc1-2530a1ada450</t>
  </si>
  <si>
    <t>04ce7c19-7d0b-4288-bce8-956a4b571ca8</t>
  </si>
  <si>
    <t>46c6d1bb-1b16-414a-8567-b04c00581b34</t>
  </si>
  <si>
    <t>d12beed1-c20a-40d7-9955-0a210c085833</t>
  </si>
  <si>
    <t>d055d93c-b7b4-4e15-94e3-187865b4e4ca</t>
  </si>
  <si>
    <t>573241c4-4fd0-4046-b31b-ab04d9e65360</t>
  </si>
  <si>
    <t>7b3aac63-ec59-4a2f-b6ef-2574ecb64803</t>
  </si>
  <si>
    <t>d134da32-525d-4de9-a2e6-648ecaa98a15</t>
  </si>
  <si>
    <t>a3609426-df4d-4ca4-92bc-5421c6ca8ed5</t>
  </si>
  <si>
    <t>3598e6fe-9664-4a10-8d93-a204b8cdb47b</t>
  </si>
  <si>
    <t>68caaff0-3cdc-43e9-8dbd-06bce20d9c51</t>
  </si>
  <si>
    <t>83d5f91f-cbeb-4872-903e-8f6d9c1ac0c7</t>
  </si>
  <si>
    <t>d635803e-fefd-4061-bb3a-fabf91b49277</t>
  </si>
  <si>
    <t>Robbery</t>
  </si>
  <si>
    <t>7ce86f9d-ca3c-487e-8094-6884d6dfe5f2</t>
  </si>
  <si>
    <t>76c99f65-3a4c-4436-8b1f-e1ba25211111</t>
  </si>
  <si>
    <t>b5677bd9-f4de-4387-b8a6-7329470bce04</t>
  </si>
  <si>
    <t>f785c02c-ebd3-4185-9835-1589d2e6a9b0</t>
  </si>
  <si>
    <t>1ef28391-66c3-4ec1-b8c4-a4e927654b5b</t>
  </si>
  <si>
    <t>5c420413-7b22-4175-b5ff-744c6efe2cc5</t>
  </si>
  <si>
    <t>armed subj</t>
  </si>
  <si>
    <t>dad0e2e2-3412-41af-8a19-a9fd5d2c4a6e</t>
  </si>
  <si>
    <t>765e8645-6379-4dec-9cd6-aea7ece98cc5</t>
  </si>
  <si>
    <t>3ac509eb-2128-440e-8ef4-98d51523b1ad</t>
  </si>
  <si>
    <t>c71cff4d-1bbb-4530-8b86-a39e45380c1e</t>
  </si>
  <si>
    <t>454f78ee-fdbd-4d92-8590-8f3ce0dd08d0</t>
  </si>
  <si>
    <t>ee4024c6-b42b-4d4e-8eb4-9c11d29d4b1c</t>
  </si>
  <si>
    <t>412d9f1d-45c6-4a91-9205-6686135ca9c0</t>
  </si>
  <si>
    <t>dispute</t>
  </si>
  <si>
    <t>80bf16d8-fcad-4eed-b3f4-1e622012907d</t>
  </si>
  <si>
    <t>e4c9d478-3981-40fa-8227-f86c901cc8c1</t>
  </si>
  <si>
    <t>960c951f-aebb-4195-bb09-e89a104124b7</t>
  </si>
  <si>
    <t>VANCOUVER STABBING</t>
  </si>
  <si>
    <t>c4a07f65-491b-4923-bef6-8a04eba0df50</t>
  </si>
  <si>
    <t>86029734-e029-4071-b353-3569cf72e8d5</t>
  </si>
  <si>
    <t>ba7f98b1-7492-4cd4-af66-c73c79784418</t>
  </si>
  <si>
    <t>63c745e4-258c-4f80-86f2-70ee0fa35174</t>
  </si>
  <si>
    <t>eb3f1bab-f375-4c1d-bb51-f31056a4a812</t>
  </si>
  <si>
    <t>cca9471d-1559-4aa2-9a06-5e26c9fc690e</t>
  </si>
  <si>
    <t>8b6da354-bca8-4409-b6f3-d81c41a7684f</t>
  </si>
  <si>
    <t>2bb321bc-77fa-4bae-a96c-e90f90ba9f29</t>
  </si>
  <si>
    <t>5a54bb53-5176-47a0-bb4f-1a85dfa78edc</t>
  </si>
  <si>
    <t>546657cf-7ad6-4fdf-b1e5-1ecfdeacfda1</t>
  </si>
  <si>
    <t>f11408fa-805b-48c8-8a2e-8ef070583bcd</t>
  </si>
  <si>
    <t>a9c6ebb2-4856-4092-b908-e7f2353a38c6</t>
  </si>
  <si>
    <t>b49b1b96-5858-4a05-b358-c71617961d72</t>
  </si>
  <si>
    <t>2029119b-6505-4133-8452-6046abb5b56d</t>
  </si>
  <si>
    <t>ofcr oros</t>
  </si>
  <si>
    <t>41847c71-d8ce-4e78-810b-15170713553f</t>
  </si>
  <si>
    <t>testing</t>
  </si>
  <si>
    <t>54bba211-4209-4529-b8f4-b54b1ce364cd</t>
  </si>
  <si>
    <t>oros</t>
  </si>
  <si>
    <t>ae0e7018-b889-4567-b96e-5678261b60a6</t>
  </si>
  <si>
    <t>df2bcb37-4145-42dc-8a48-ed4d9c52e399</t>
  </si>
  <si>
    <t>2dc36ca9-9913-4d75-b33d-8cffa26974d1</t>
  </si>
  <si>
    <t>97ca6116-46a8-4548-bda0-ffe88b95f5a3</t>
  </si>
  <si>
    <t>390fec69-f261-47ca-bb24-d2715ec1f3e0</t>
  </si>
  <si>
    <t>e629c055-6085-47b2-9a0b-b20443f96a74</t>
  </si>
  <si>
    <t>1b3ad3be-8e7f-48bc-9608-945871eede23</t>
  </si>
  <si>
    <t>909c873b-481a-4f4d-afa0-aa11c5c578c6</t>
  </si>
  <si>
    <t>72e6be96-8d50-443a-9d9f-ef3afdd9a6f1</t>
  </si>
  <si>
    <t>3d64cd52-ea51-4644-8618-b6a2d3917d78</t>
  </si>
  <si>
    <t>vro</t>
  </si>
  <si>
    <t>ea93af43-40d4-4a30-832e-13e8a6e9d249</t>
  </si>
  <si>
    <t>ec2f7afd-eac5-4889-bc4f-45ac206a1ef6</t>
  </si>
  <si>
    <t>a78dd4db-4b87-4977-9af0-de02882b68d7</t>
  </si>
  <si>
    <t>285b84b1-72f8-47a5-9aa9-f7a135bd2176</t>
  </si>
  <si>
    <t>MISSING JUVENILE</t>
  </si>
  <si>
    <t>daafc75e-c5a4-41aa-b1aa-5cdcd91e318e</t>
  </si>
  <si>
    <t>MISSING JUV</t>
  </si>
  <si>
    <t>56a111c2-2d82-403b-8a2f-eb9458440d7c</t>
  </si>
  <si>
    <t>ea1b139b-2c1d-4d17-a0a2-e3ad50ce8075</t>
  </si>
  <si>
    <t>6ebd8871-316d-4fc9-b0aa-0f7f42d5bcec</t>
  </si>
  <si>
    <t>22e6184b-2271-46cd-b9be-9e48825e9fa3</t>
  </si>
  <si>
    <t>d7718d29-e30c-4aa3-9841-65dc738f5c06</t>
  </si>
  <si>
    <t>6f4dc9f8-48b9-4e2e-b6f8-d82d217f71cd</t>
  </si>
  <si>
    <t>welfare check</t>
  </si>
  <si>
    <t>9de2ceb7-077e-4d17-ac4b-31159b6f64cb</t>
  </si>
  <si>
    <t>WELFARE CHECK</t>
  </si>
  <si>
    <t>cfd0c51e-a960-4a3f-8d19-2cba132ec432</t>
  </si>
  <si>
    <t>af6f6a7a-0eec-4323-9cea-20b88b1e02d4</t>
  </si>
  <si>
    <t>01538b5d-4c04-48b7-84d6-195cf1d3ccf3</t>
  </si>
  <si>
    <t>362ac231-dc25-48a9-aa86-513bbeba5ce5</t>
  </si>
  <si>
    <t>f6ccc342-cc82-405b-8bea-0626ed66b366</t>
  </si>
  <si>
    <t>5b3c413b-d338-49ab-9629-2e88b97b1468</t>
  </si>
  <si>
    <t>b368c186-28b6-4a30-a145-b76b93faac2a</t>
  </si>
  <si>
    <t>ce2a3f99-2d21-455b-bf00-845cafd264cc</t>
  </si>
  <si>
    <t>Theft 1 lisp</t>
  </si>
  <si>
    <t>f69d2878-2b2c-4efb-8111-cb6d5a4710c1</t>
  </si>
  <si>
    <t>09a17e70-bfb8-4d46-bf25-6286979e1c68</t>
  </si>
  <si>
    <t>f59bfa03-f271-4167-99c4-4f6f50855e9c</t>
  </si>
  <si>
    <t>0a1b2ce3-a51b-432e-bc6e-cd9b86192396</t>
  </si>
  <si>
    <t>8cac9aa6-6a6f-4426-af71-44be86ef165b</t>
  </si>
  <si>
    <t>c03fcbdd-5bf3-46d9-9621-bc7abf2b7ced</t>
  </si>
  <si>
    <t>45ed1a5e-0b09-41fd-afb4-bb6a2c2f0752</t>
  </si>
  <si>
    <t>56832659-f9c7-4ee0-8f78-e0629d2b4902</t>
  </si>
  <si>
    <t>1e9dfce1-201b-44e6-9673-777c178c2a9d</t>
  </si>
  <si>
    <t>71d30475-d185-47db-b999-6a854649d6a1</t>
  </si>
  <si>
    <t>3cef2e6c-8db6-45c8-9e7a-3b62c168d04e</t>
  </si>
  <si>
    <t>uuv 239028</t>
  </si>
  <si>
    <t>23d704ee-8935-44f6-91f8-bee968586a5b</t>
  </si>
  <si>
    <t>5e43efd4-7a1b-43d3-9fe7-008aa2de0094</t>
  </si>
  <si>
    <t>d39b6be3-6b82-4e9f-9dc7-7d26e537c843</t>
  </si>
  <si>
    <t>felony dws</t>
  </si>
  <si>
    <t>c25df3d9-c96a-4474-b8e0-b2aa8a5a300f</t>
  </si>
  <si>
    <t>d4ee5a90-10b6-4dee-815b-2ceeca53b623</t>
  </si>
  <si>
    <t>21019339-a22c-459e-8bb6-6a980dbacf49</t>
  </si>
  <si>
    <t>dcc17db9-a4e4-47c3-9a2f-27cde7e457b9</t>
  </si>
  <si>
    <t>ATL CHILD ABUSE</t>
  </si>
  <si>
    <t>d7fdfce0-4af2-4323-8e59-dbdfafb23d0f</t>
  </si>
  <si>
    <t>95f4c909-ebbf-4068-8df8-7d0f75031029</t>
  </si>
  <si>
    <t>710c803d-4787-4ea7-bbb9-64468eba8e05</t>
  </si>
  <si>
    <t>6c2e6377-bac9-418e-b868-691001ed00e5</t>
  </si>
  <si>
    <t>7c031ab6-2acc-4896-9186-9b201380d220</t>
  </si>
  <si>
    <t>ca53dbb6-18a3-49b9-8e55-807a3231ef6c</t>
  </si>
  <si>
    <t>d659d111-5798-464a-b7e4-153f7897244f</t>
  </si>
  <si>
    <t>e8b07d67-bc9f-4fd3-9d85-a26b4a6b8ba6</t>
  </si>
  <si>
    <t>3d73cb62-76ea-4591-b752-417342bb9d24</t>
  </si>
  <si>
    <t>d2aae2db-9486-4541-84d6-74f4e0e8bfea</t>
  </si>
  <si>
    <t>be953215-3e4e-47df-a0db-e6bb50c19de6</t>
  </si>
  <si>
    <t>6a4018fa-e850-4782-b63e-b9583097ad85</t>
  </si>
  <si>
    <t>64ab95af-2491-4b2f-bf10-1369b0c1db9b</t>
  </si>
  <si>
    <t>trsps</t>
  </si>
  <si>
    <t>01f51168-23d4-4efa-bec4-e14c6982129f</t>
  </si>
  <si>
    <t>b3bee3fd-c341-4c2a-999b-c0d5ab5eaa3b</t>
  </si>
  <si>
    <t>86ee120e-076a-4b3b-bbf8-b2f152f5c402</t>
  </si>
  <si>
    <t>a4a91ba2-86a5-463a-87a5-959996edb7fd</t>
  </si>
  <si>
    <t>4d789e69-2e13-41f1-9110-ea02835cb0d7</t>
  </si>
  <si>
    <t>dd6045d3-a153-4928-b7bc-b3e3e44c042b</t>
  </si>
  <si>
    <t>d975e4d9-7592-4ab8-a246-d4c1186247df</t>
  </si>
  <si>
    <t>3d4c0262-6984-4303-84ed-ed0eaf2b2fbe</t>
  </si>
  <si>
    <t>017e3011-5150-4f70-ba1b-4f8f9e90db75</t>
  </si>
  <si>
    <t>cbb8e08d-1aea-4d42-bd12-96289028ac58</t>
  </si>
  <si>
    <t>499b1b64-cff4-4304-bea3-eeb9e0c91a74</t>
  </si>
  <si>
    <t>172a7164-7bc4-418e-b132-add6abaab3c8</t>
  </si>
  <si>
    <t>0b261c14-9aaa-49b4-ba14-bff58004bb74</t>
  </si>
  <si>
    <t>af7d2c4c-24f1-4d1c-bdb1-21f750eb774c</t>
  </si>
  <si>
    <t>ae98473f-a518-4950-8f70-bc705d6bedbc</t>
  </si>
  <si>
    <t>8de23b3f-a2cb-4932-9b9c-4a3890f30f88</t>
  </si>
  <si>
    <t>006MBD</t>
  </si>
  <si>
    <t>604449e7-22ed-403c-ad95-a40082cbdc73</t>
  </si>
  <si>
    <t>25-242729</t>
  </si>
  <si>
    <t>8936141b-ef4b-484a-be1c-6df0d75ab30e</t>
  </si>
  <si>
    <t>44862ff0-ab8f-4f8e-8005-fe96c6bd1038</t>
  </si>
  <si>
    <t>dd34e53b-bca6-4fd1-9bf6-a72ad9957a2f</t>
  </si>
  <si>
    <t>0cc4f001-008f-41f6-aee3-61a0eee51fde</t>
  </si>
  <si>
    <t>fraud</t>
  </si>
  <si>
    <t>3d9b6679-9bf3-470a-8a8c-a073b3afb446</t>
  </si>
  <si>
    <t>0d41705b-ee25-4440-ad4f-d1cf58c3e1a8</t>
  </si>
  <si>
    <t>fbc0b9f5-9edf-4131-a870-beaf5c4713bd</t>
  </si>
  <si>
    <t>ade081af-35e0-439e-9b81-486013cec110</t>
  </si>
  <si>
    <t>2c62f5f6-45ed-4431-82a5-90ccb5d839b7</t>
  </si>
  <si>
    <t>354lct</t>
  </si>
  <si>
    <t>4ade7c7e-7f00-4691-8a53-f051afae040d</t>
  </si>
  <si>
    <t>354LCT</t>
  </si>
  <si>
    <t>b16c5a25-9ee3-42c2-a9ab-80d07f4cb7af</t>
  </si>
  <si>
    <t>4c843e2f-a736-4d12-af28-cd2514bc6f18</t>
  </si>
  <si>
    <t>d6c949d5-fa08-4308-9413-e61ab7ce586c</t>
  </si>
  <si>
    <t>db1abe3e-7c11-4185-861e-1e41042b914c</t>
  </si>
  <si>
    <t>Test new camera</t>
  </si>
  <si>
    <t>df40fde6-4629-4d7c-818d-22cfa55c8c8c</t>
  </si>
  <si>
    <t>test new cam</t>
  </si>
  <si>
    <t>76372c3f-62b8-45a7-85a8-2cb7b3f0df55</t>
  </si>
  <si>
    <t>test new cams</t>
  </si>
  <si>
    <t>7398e186-32e4-4687-81e0-6d9d8467c168</t>
  </si>
  <si>
    <t>9aaabd61-72f6-4d02-ab73-9955fc125978</t>
  </si>
  <si>
    <t>2cbab73c-c2d0-495f-b67d-5b14fc30f26a</t>
  </si>
  <si>
    <t>65e47338-1f99-450f-b9be-59beff3a77dd</t>
  </si>
  <si>
    <t>6819bd4e-ccbe-446c-9db6-a7dda87d734e</t>
  </si>
  <si>
    <t>62c9ecf0-b1fc-49f3-a0ff-49211be0af45</t>
  </si>
  <si>
    <t>023d7377-9e6a-4eeb-98fd-f46d1346631b</t>
  </si>
  <si>
    <t>4eb79a46-03ae-4a1e-8d24-78ab18bcb3ec</t>
  </si>
  <si>
    <t>b01647e1-4717-4afb-878b-a60752165ed3</t>
  </si>
  <si>
    <t>bfba583d-ebed-4998-96d2-9137c99d81e4</t>
  </si>
  <si>
    <t>e9741820-8472-4d46-88b3-91d03e9a4243</t>
  </si>
  <si>
    <t>1a862484-8908-486a-b544-e852a09c9ae0</t>
  </si>
  <si>
    <t>df07c32b-67a2-4caf-80a4-43222fafd6ff</t>
  </si>
  <si>
    <t>ASLT</t>
  </si>
  <si>
    <t>055487cd-0790-493a-aa8e-234d179fd85f</t>
  </si>
  <si>
    <t>TRAINING</t>
  </si>
  <si>
    <t>ef9d1238-6c4d-45ad-ba2a-1c0f6ea674eb</t>
  </si>
  <si>
    <t>37446d72-749c-4e6b-915a-f48d397d32ef</t>
  </si>
  <si>
    <t>atl vehicle murder suspect</t>
  </si>
  <si>
    <t>f4397673-d32d-4ec4-bd9a-3a446040c6ad</t>
  </si>
  <si>
    <t>083e60e1-b37d-4eae-adf1-3f8625f10271</t>
  </si>
  <si>
    <t>c7327f28-7e7c-48f4-9669-54a0cf636eca</t>
  </si>
  <si>
    <t>4920ca22-cf14-4120-9e25-d6c9298ae1c1</t>
  </si>
  <si>
    <t>08696315-1c63-4c18-9f76-8ccae5803b9e</t>
  </si>
  <si>
    <t>f077de9f-a4ee-4906-9e4a-b55770203f5b</t>
  </si>
  <si>
    <t>ef285670-8d14-46cf-8ab7-75d80568f256</t>
  </si>
  <si>
    <t>4022785f-5d1f-4271-a5a0-c6ffe42e3f84</t>
  </si>
  <si>
    <t>9cbaf75b-9258-47fc-8a38-3b713dfd4ede</t>
  </si>
  <si>
    <t>9cacabb6-8f88-49be-9844-6677802251d0</t>
  </si>
  <si>
    <t>652576c3-9907-4896-9ddb-b78b943fbd12</t>
  </si>
  <si>
    <t>PURSUIT</t>
  </si>
  <si>
    <t>bfd3cfb9-c662-4599-9035-73339b58154c</t>
  </si>
  <si>
    <t>6a4f0a67-c393-46e3-ba17-e7a034e66fec</t>
  </si>
  <si>
    <t>900b633e-2a02-4756-bfdb-f5ac7ba4b1e5</t>
  </si>
  <si>
    <t>SUICIDAL SUBJ</t>
  </si>
  <si>
    <t>7263eba5-7c9f-4d56-995d-41712432de0c</t>
  </si>
  <si>
    <t>7a4ab9f2-244f-4369-878a-90ee63e40297</t>
  </si>
  <si>
    <t>3c1e3cb5-0d1e-42ff-88f8-d6fd7590ee0f</t>
  </si>
  <si>
    <t>08353a3e-8182-4041-ae89-6253d0101c0d</t>
  </si>
  <si>
    <t>network test</t>
  </si>
  <si>
    <t>f0835ed0-cd79-421c-ad66-dc951f1dc99b</t>
  </si>
  <si>
    <t>64b1d319-fe81-4959-a48e-87a5f648123d</t>
  </si>
  <si>
    <t>a0fc6ab4-fc95-4d00-8f1a-11920a219419</t>
  </si>
  <si>
    <t>34a52e29-118c-458c-9e0f-d8fbba16e026</t>
  </si>
  <si>
    <t>d17f41bd-4b91-4835-bd70-d7253b164961</t>
  </si>
  <si>
    <t>1e5b286e-770e-4e5b-9e5c-9c092b5e8e3e</t>
  </si>
  <si>
    <t>289bbe51-f2ee-4b74-b113-2265ba5bb990</t>
  </si>
  <si>
    <t>0ef929b6-679c-4cae-a9cd-546eadc0d5a8</t>
  </si>
  <si>
    <t>b09ce88e-ee9c-4d1b-a2a9-c4af0842f3ea</t>
  </si>
  <si>
    <t>f0ea05ae-b1dd-47b1-859d-cccd25fe1535</t>
  </si>
  <si>
    <t>d6dac0ca-20da-42a2-ad3a-511e783a3d52</t>
  </si>
  <si>
    <t>fde0e8af-fcd7-482a-9fe2-8902ed82d6c0</t>
  </si>
  <si>
    <t>inevstigative</t>
  </si>
  <si>
    <t>416d5043-084b-404e-aca8-e55ec5b1d9f0</t>
  </si>
  <si>
    <t>ccd14f0f-2438-4fd7-b819-833ea34e4273</t>
  </si>
  <si>
    <t>d2a9a6fc-28a2-4447-be38-b47939ebab60</t>
  </si>
  <si>
    <t>713b9065-f8cb-4b20-b564-f8a28a6c4e84</t>
  </si>
  <si>
    <t>96d1d281-3f5f-4df0-ae77-004f381982dc</t>
  </si>
  <si>
    <t>ecf41821-a554-4ba6-a3ed-fea9a6f2982d</t>
  </si>
  <si>
    <t>e0c2df8a-077b-4b38-9330-e7f4bd5885d2</t>
  </si>
  <si>
    <t>0836243e-6d4d-4970-b44f-5be2516adf42</t>
  </si>
  <si>
    <t>pc elude</t>
  </si>
  <si>
    <t>1dc97bdc-378c-4e9a-81db-45074ced8234</t>
  </si>
  <si>
    <t>2be77bed-416c-43bc-8f3e-c9e9b55446df</t>
  </si>
  <si>
    <t>3c58d0c6-ecfe-4fb8-9fd8-c7578b940186</t>
  </si>
  <si>
    <t>82309829-6029-404a-91e1-277d74c6bd37</t>
  </si>
  <si>
    <t>085cedd6-34dc-4613-84c9-efac8406548b</t>
  </si>
  <si>
    <t>22093778-760a-4d61-a73d-9a50c56b3558</t>
  </si>
  <si>
    <t>f37a3bdb-f09c-46ff-ad7e-b0585131422b</t>
  </si>
  <si>
    <t>c5f48364-8e77-4635-9b07-7827f8ed3424</t>
  </si>
  <si>
    <t>2b232abb-1510-4a21-a643-c9a4298aa1d0</t>
  </si>
  <si>
    <t>ad4ad903-9650-4504-bd5b-595b71a95e68</t>
  </si>
  <si>
    <t>9d79733b-3b43-49d3-968c-eaa94a92ae19</t>
  </si>
  <si>
    <t>law enforce</t>
  </si>
  <si>
    <t>cc0adbad-4022-44a3-a63e-4240434cd2b1</t>
  </si>
  <si>
    <t>law enforcement</t>
  </si>
  <si>
    <t>bbc9a48b-b69c-4cc5-9457-0515bbbec519</t>
  </si>
  <si>
    <t>theft s/ veh</t>
  </si>
  <si>
    <t>a934f3cf-5c64-4ffa-afbf-b8ebbbe258d1</t>
  </si>
  <si>
    <t>theft s/ vehicle</t>
  </si>
  <si>
    <t>06700650-4908-4918-a1f5-2f93d017040a</t>
  </si>
  <si>
    <t>f960c61d-89d9-4eab-bcc6-68aec958e3b5</t>
  </si>
  <si>
    <t>atldk</t>
  </si>
  <si>
    <t>4ac533eb-b6d0-4018-873f-01582ff814c3</t>
  </si>
  <si>
    <t>b546bfde-e081-446b-ab3a-02a77626c429</t>
  </si>
  <si>
    <t>91679897-1e6f-4f73-8e3d-e04a2df68e37</t>
  </si>
  <si>
    <t>ce19414e-6531-4777-8e50-8e50c714c383</t>
  </si>
  <si>
    <t>2ab6d92f-e4e8-45c8-9525-50f53f9cee7d</t>
  </si>
  <si>
    <t>7ee40579-2618-40b6-b479-804ca4846cb0</t>
  </si>
  <si>
    <t>theft susp</t>
  </si>
  <si>
    <t>db1bf2ac-d4d5-4cdb-b333-28d0d321e707</t>
  </si>
  <si>
    <t>d88854d5-275e-4ff0-9ab9-5bc08115e100</t>
  </si>
  <si>
    <t>d180de9c-1d25-4e0e-a422-41f420813060</t>
  </si>
  <si>
    <t>4b21c2ff-b4be-4441-aabf-6be97b2d87f3</t>
  </si>
  <si>
    <t>70ff39b6-c9de-458f-a370-3c6a19a04f6f</t>
  </si>
  <si>
    <t>166c62b2-2514-4976-9ecb-07f10bdb989a</t>
  </si>
  <si>
    <t>c8cd8cc8-6732-4dff-8508-948f77de275a</t>
  </si>
  <si>
    <t>65415a8d-e682-4d78-9749-41e028e637a5</t>
  </si>
  <si>
    <t>4aec13df-88c8-4b24-b9ea-20bf7e17d260</t>
  </si>
  <si>
    <t>004b7856-3644-4410-ace9-1f264a25e34b</t>
  </si>
  <si>
    <t>e5f03910-388a-4f57-bb74-ac54208fb62f</t>
  </si>
  <si>
    <t>d86f70de-6233-44b1-a84b-ad24ee04f742</t>
  </si>
  <si>
    <t>dv</t>
  </si>
  <si>
    <t>dc833a8b-8ab1-4140-a524-9624c65ab4ac</t>
  </si>
  <si>
    <t>CHKWLF</t>
  </si>
  <si>
    <t>7a5b7f7c-94ad-4704-ab22-87a5b2187dec</t>
  </si>
  <si>
    <t>dws felony</t>
  </si>
  <si>
    <t>f94bafaf-0af1-4116-9f96-6d82ff006f80</t>
  </si>
  <si>
    <t>1f620e78-f39e-4e67-bed1-fb1c69224aa8</t>
  </si>
  <si>
    <t>child abuse</t>
  </si>
  <si>
    <t>aa4dc0a8-7525-4557-a68a-97506fa50145</t>
  </si>
  <si>
    <t>54258eae-8c5d-420d-8b69-ae0dd47bac0a</t>
  </si>
  <si>
    <t>fb7d1ae3</t>
  </si>
  <si>
    <t>f676770a</t>
  </si>
  <si>
    <t>154e5978</t>
  </si>
  <si>
    <t>cf20f9c8</t>
  </si>
  <si>
    <t>fc8596ff</t>
  </si>
  <si>
    <t>65e0d73f</t>
  </si>
  <si>
    <t>fbfa025f</t>
  </si>
  <si>
    <t>865aaa25</t>
  </si>
  <si>
    <t>5099fed4</t>
  </si>
  <si>
    <t>162b0343</t>
  </si>
  <si>
    <t>ad0cce28</t>
  </si>
  <si>
    <t>5db0b69a</t>
  </si>
  <si>
    <t>0e8ecca7</t>
  </si>
  <si>
    <t>bd053b0f</t>
  </si>
  <si>
    <t>01b52c2e</t>
  </si>
  <si>
    <t>60e012f5</t>
  </si>
  <si>
    <t>6d2d86c1</t>
  </si>
  <si>
    <t>afc40c1e</t>
  </si>
  <si>
    <t>dd5359fa</t>
  </si>
  <si>
    <t>d6f7ed99</t>
  </si>
  <si>
    <t>2d4eebd6</t>
  </si>
  <si>
    <t>9d79733b</t>
  </si>
  <si>
    <t>72d846eb</t>
  </si>
  <si>
    <t>17ab8242</t>
  </si>
  <si>
    <t>390c34fc</t>
  </si>
  <si>
    <t>8eca698f</t>
  </si>
  <si>
    <t>92811fe2</t>
  </si>
  <si>
    <t>c2373a46</t>
  </si>
  <si>
    <t>44e5ae6a</t>
  </si>
  <si>
    <t>08384b86</t>
  </si>
  <si>
    <t>66f75625</t>
  </si>
  <si>
    <t>cef2b19d</t>
  </si>
  <si>
    <t>d659d111</t>
  </si>
  <si>
    <t>0759d13b</t>
  </si>
  <si>
    <t>98a65d8a</t>
  </si>
  <si>
    <t>ab73a004</t>
  </si>
  <si>
    <t>efdce85f</t>
  </si>
  <si>
    <t>42a9846a</t>
  </si>
  <si>
    <t>4f0ea4ac</t>
  </si>
  <si>
    <t>a4c34cb7</t>
  </si>
  <si>
    <t>May</t>
  </si>
  <si>
    <r>
      <rPr>
        <b/>
        <sz val="11"/>
        <color theme="1"/>
        <rFont val="Aptos Narrow"/>
        <family val="2"/>
        <scheme val="minor"/>
      </rPr>
      <t>Source</t>
    </r>
    <r>
      <rPr>
        <sz val="11"/>
        <color theme="1"/>
        <rFont val="Aptos Narrow"/>
        <family val="2"/>
        <scheme val="minor"/>
      </rPr>
      <t>: Flock Transparancy Portal for Springfield</t>
    </r>
  </si>
  <si>
    <t>https://transparency.flocksafety.com/springfield-or-pd</t>
  </si>
  <si>
    <t>https://github.com/eyes-off/springfield-oregon/blob/main/FlockAuditLogs/SPDSearchAuditLogs.xlsx</t>
  </si>
  <si>
    <t>cbedf262-a788-4efd-b393-d043acb6c334</t>
  </si>
  <si>
    <t>576e3aa8-b936-4c9c-addb-b5af66abac22</t>
  </si>
  <si>
    <t>3acf696c-a581-4008-a80d-66a12206bb78</t>
  </si>
  <si>
    <t>reckless driver</t>
  </si>
  <si>
    <t>896a4e15-0f83-4f2b-8f3e-9a6fec3e36af</t>
  </si>
  <si>
    <t>ca76df7a-795c-441f-8980-14d6a7813e9c</t>
  </si>
  <si>
    <t>67932dcf-ec8d-4739-afce-6f5e49ae63a3</t>
  </si>
  <si>
    <t>772e2406-4c1b-4153-849f-68f95afe0ac6</t>
  </si>
  <si>
    <t>76ac7f66-23b2-4aad-aba1-6c81278615d2</t>
  </si>
  <si>
    <t>55f6e2de-7641-4691-abd9-49bda576fddc</t>
  </si>
  <si>
    <t>site test</t>
  </si>
  <si>
    <t>c5b66b77-7f99-4d59-934f-41300bf6d040</t>
  </si>
  <si>
    <t>92d4031e-b016-437e-a505-50545728f4e2</t>
  </si>
  <si>
    <t>7dfc6b6b-316a-48e9-957f-873259462e21</t>
  </si>
  <si>
    <t>b15177bf-7d72-452c-83f9-bedbb0995136</t>
  </si>
  <si>
    <t>SUICIDAL SUBJECT</t>
  </si>
  <si>
    <t>2ff16b93-7148-428d-8514-bfc644fcdd9d</t>
  </si>
  <si>
    <t>SUICIDALSUBJECT</t>
  </si>
  <si>
    <t>fd125883-534e-4e6b-846f-e7173504c1cd</t>
  </si>
  <si>
    <t>f9dd227d-5e7d-440e-a947-e1da4b2f72b3</t>
  </si>
  <si>
    <t>SUISUB</t>
  </si>
  <si>
    <t>d58ea752-0bd9-41d9-a8d4-9816455e9e14</t>
  </si>
  <si>
    <t>61c1e225-012a-4fa1-a1bd-4ff0ccaeb999</t>
  </si>
  <si>
    <t>df6f9119-e2ea-4fe9-87bc-1b8f26f2db84</t>
  </si>
  <si>
    <t>7898ed91-71bb-405f-a408-85941c8b00b4</t>
  </si>
  <si>
    <t>6fdc2d6e-8765-4e36-9824-191cc00a747b</t>
  </si>
  <si>
    <t>f4114983-f29a-44f9-b3f0-d5e194ccf0bc</t>
  </si>
  <si>
    <t>5fd67a95-fe41-4ab1-be37-44cbca244f32</t>
  </si>
  <si>
    <t>bffb65a5-a3ae-4766-b045-113f0eec4a50</t>
  </si>
  <si>
    <t>Stolen Vehicles</t>
  </si>
  <si>
    <t>0664cd36-26e8-4d18-81d2-de8e7a2802e9</t>
  </si>
  <si>
    <t>Stolen vehicles lane county</t>
  </si>
  <si>
    <t>d74bac99-1e31-47c8-b847-8ab8ef600f4c</t>
  </si>
  <si>
    <t>f1a12278-5945-45ab-bafd-9453a9dde603</t>
  </si>
  <si>
    <t>acf10407-8812-4209-8bc1-7644c28aa914</t>
  </si>
  <si>
    <t>2eb556d7-588b-4201-9a7a-e9bd5c1aab6f</t>
  </si>
  <si>
    <t>39019d06-b0b2-4bd6-bb7b-7227fd6794e0</t>
  </si>
  <si>
    <t>551qjz</t>
  </si>
  <si>
    <t>96d82ef4-251b-4e06-8e67-97767f87e14e</t>
  </si>
  <si>
    <t>15491da6-215c-4bce-a287-db244483e32b</t>
  </si>
  <si>
    <t>hitand run</t>
  </si>
  <si>
    <t>69055ead-283e-459c-a541-e1be90709da3</t>
  </si>
  <si>
    <t>07577606-6c1c-4456-afea-33f9caf2878f</t>
  </si>
  <si>
    <t>67354253-4017-48b3-a293-a56705400126</t>
  </si>
  <si>
    <t>9bbd7040-3309-47a7-a1ee-3c4dc7d1e3df</t>
  </si>
  <si>
    <t>594b044c-3396-4e74-9631-8e6f2d503561</t>
  </si>
  <si>
    <t>assault 4</t>
  </si>
  <si>
    <t>c224f612-ba80-423b-8211-a402bb78767e</t>
  </si>
  <si>
    <t>ce6b12ea-59d3-4d4c-aa58-2c59c6f86e49</t>
  </si>
  <si>
    <t>Uuw</t>
  </si>
  <si>
    <t>d6e7e9a4-ae1a-4c22-9ccb-3f4299447408</t>
  </si>
  <si>
    <t>Located Wanted Fugitive</t>
  </si>
  <si>
    <t>58625775-1900-4a41-ad0d-8c2362cfbcc4</t>
  </si>
  <si>
    <t>bbc761e1-a020-4333-8651-9a2708aa3a84</t>
  </si>
  <si>
    <t>68cec7d1-8efa-438d-800d-84db08ac8e31</t>
  </si>
  <si>
    <t>4f22c005-f1a5-4db4-92f5-6c039bb0d2ff</t>
  </si>
  <si>
    <t>97d1f5e7-d92c-4b44-8d13-01e594d95917</t>
  </si>
  <si>
    <t>e00afd8d-4bf3-4161-88ca-9e2fe309d57c</t>
  </si>
  <si>
    <t>18:15:00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</si>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</sst>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.0"/>
    <numFmt numFmtId="165" formatCode="yyyy\-mm\-dd\ hh:mm"/>
    <numFmt numFmtId="166" formatCode="yyyy\-mm\-dd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3"/>
      <name val="Aptos Display"/>
      <family val="2"/>
      <scheme val="maj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164" fontId="0" fillId="0" borderId="0" xfId="0" applyNumberFormat="1" applyAlignment="1">
      <alignment horizontal="left"/>
    </xf>
    <xf numFmtId="0" fontId="20" fillId="0" borderId="0" xfId="1" applyFont="1"/>
    <xf numFmtId="0" fontId="21" fillId="0" borderId="0" xfId="0" applyFont="1"/>
    <xf numFmtId="0" fontId="19" fillId="0" borderId="0" xfId="42"/>
    <xf numFmtId="0" fontId="16" fillId="0" borderId="0" xfId="0" applyFont="1"/>
    <xf numFmtId="165" fontId="22" fillId="0" borderId="0" xfId="0" applyNumberFormat="1" applyFont="1" applyAlignment="1">
      <alignment vertical="center"/>
    </xf>
    <xf numFmtId="164" fontId="16" fillId="0" borderId="0" xfId="0" applyNumberFormat="1" applyFont="1" applyAlignment="1">
      <alignment horizontal="left"/>
    </xf>
    <xf numFmtId="164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5" formatCode="yyyy\-mm\-dd\ hh:mm"/>
      <alignment horizontal="general" vertical="center" textRotation="0" wrapText="0" indent="0" justifyLastLine="0" shrinkToFit="0" readingOrder="0"/>
    </dxf>
    <dxf>
      <numFmt numFmtId="164" formatCode="yyyy\-mm\-dd\ hh:mm:ss.0"/>
    </dxf>
    <dxf>
      <numFmt numFmtId="164" formatCode="yyyy\-mm\-dd\ hh:mm:ss.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3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[SPDSearchAuditLogs.xlsx]Searches By User!PivotTable2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SPD Search</a:t>
            </a:r>
            <a:r>
              <a:rPr lang="en-US" baseline="0"/>
              <a:t> Count by User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'Searches By User'!$B$3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'Searches By User'!$A$4:$A$44</c:f>
              <c:strCache>
                <c:ptCount val="40"/>
                <c:pt idx="0">
                  <c:v>fb7d1ae3</c:v>
                </c:pt>
                <c:pt idx="1">
                  <c:v>f676770a</c:v>
                </c:pt>
                <c:pt idx="2">
                  <c:v>154e5978</c:v>
                </c:pt>
                <c:pt idx="3">
                  <c:v>cf20f9c8</c:v>
                </c:pt>
                <c:pt idx="4">
                  <c:v>fc8596ff</c:v>
                </c:pt>
                <c:pt idx="5">
                  <c:v>65e0d73f</c:v>
                </c:pt>
                <c:pt idx="6">
                  <c:v>fbfa025f</c:v>
                </c:pt>
                <c:pt idx="7">
                  <c:v>865aaa25</c:v>
                </c:pt>
                <c:pt idx="8">
                  <c:v>5099fed4</c:v>
                </c:pt>
                <c:pt idx="9">
                  <c:v>162b0343</c:v>
                </c:pt>
                <c:pt idx="10">
                  <c:v>ad0cce28</c:v>
                </c:pt>
                <c:pt idx="11">
                  <c:v>5db0b69a</c:v>
                </c:pt>
                <c:pt idx="12">
                  <c:v>0e8ecca7</c:v>
                </c:pt>
                <c:pt idx="13">
                  <c:v>bd053b0f</c:v>
                </c:pt>
                <c:pt idx="14">
                  <c:v>01b52c2e</c:v>
                </c:pt>
                <c:pt idx="15">
                  <c:v>60e012f5</c:v>
                </c:pt>
                <c:pt idx="16">
                  <c:v>6d2d86c1</c:v>
                </c:pt>
                <c:pt idx="17">
                  <c:v>afc40c1e</c:v>
                </c:pt>
                <c:pt idx="18">
                  <c:v>dd5359fa</c:v>
                </c:pt>
                <c:pt idx="19">
                  <c:v>d6f7ed99</c:v>
                </c:pt>
                <c:pt idx="20">
                  <c:v>2d4eebd6</c:v>
                </c:pt>
                <c:pt idx="21">
                  <c:v>9d79733b</c:v>
                </c:pt>
                <c:pt idx="22">
                  <c:v>72d846eb</c:v>
                </c:pt>
                <c:pt idx="23">
                  <c:v>17ab8242</c:v>
                </c:pt>
                <c:pt idx="24">
                  <c:v>390c34fc</c:v>
                </c:pt>
                <c:pt idx="25">
                  <c:v>8eca698f</c:v>
                </c:pt>
                <c:pt idx="26">
                  <c:v>92811fe2</c:v>
                </c:pt>
                <c:pt idx="27">
                  <c:v>c2373a46</c:v>
                </c:pt>
                <c:pt idx="28">
                  <c:v>44e5ae6a</c:v>
                </c:pt>
                <c:pt idx="29">
                  <c:v>08384b86</c:v>
                </c:pt>
                <c:pt idx="30">
                  <c:v>66f75625</c:v>
                </c:pt>
                <c:pt idx="31">
                  <c:v>cef2b19d</c:v>
                </c:pt>
                <c:pt idx="32">
                  <c:v>d659d111</c:v>
                </c:pt>
                <c:pt idx="33">
                  <c:v>0759d13b</c:v>
                </c:pt>
                <c:pt idx="34">
                  <c:v>98a65d8a</c:v>
                </c:pt>
                <c:pt idx="35">
                  <c:v>ab73a004</c:v>
                </c:pt>
                <c:pt idx="36">
                  <c:v>efdce85f</c:v>
                </c:pt>
                <c:pt idx="37">
                  <c:v>42a9846a</c:v>
                </c:pt>
                <c:pt idx="38">
                  <c:v>4f0ea4ac</c:v>
                </c:pt>
                <c:pt idx="39">
                  <c:v>a4c34cb7</c:v>
                </c:pt>
              </c:strCache>
            </c:strRef>
          </c:cat>
          <c:val>
            <c:numRef>
              <c:f>'Searches By User'!$B$4:$B$44</c:f>
              <c:numCache>
                <c:formatCode>General</c:formatCode>
                <c:ptCount val="40"/>
                <c:pt idx="0">
                  <c:v>198</c:v>
                </c:pt>
                <c:pt idx="1">
                  <c:v>80</c:v>
                </c:pt>
                <c:pt idx="2">
                  <c:v>75</c:v>
                </c:pt>
                <c:pt idx="3">
                  <c:v>53</c:v>
                </c:pt>
                <c:pt idx="4">
                  <c:v>40</c:v>
                </c:pt>
                <c:pt idx="5">
                  <c:v>35</c:v>
                </c:pt>
                <c:pt idx="6">
                  <c:v>29</c:v>
                </c:pt>
                <c:pt idx="7">
                  <c:v>27</c:v>
                </c:pt>
                <c:pt idx="8">
                  <c:v>23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16</c:v>
                </c:pt>
                <c:pt idx="16">
                  <c:v>16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8-4A33-8961-D00134951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552895"/>
        <c:axId val="597555295"/>
      </c:barChart>
      <c:catAx>
        <c:axId val="5975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55295"/>
        <c:crosses val="autoZero"/>
        <c:auto val="1"/>
        <c:lblAlgn val="ctr"/>
        <c:lblOffset val="100"/>
        <c:noMultiLvlLbl val="0"/>
      </c:catAx>
      <c:valAx>
        <c:axId val="5975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[SPDSearchAuditLogs.xlsx]SearchesByTimeOfDay!PivotTable1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SPD - Searches</a:t>
            </a:r>
            <a:r>
              <a:rPr lang="en-US" baseline="0"/>
              <a:t> by Time of Day</a:t>
            </a:r>
          </a:p>
          <a:p>
            <a:pPr>
              <a:defRPr/>
            </a:pPr>
            <a:r>
              <a:rPr lang="en-US" baseline="0"/>
              <a:t>PST, 15min Increments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SearchesByTimeOfDay!$B$4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SearchesByTimeOfDay!$A$5:$A$100</c:f>
              <c:strCache>
                <c:ptCount val="95"/>
                <c:pt idx="0">
                  <c:v>00:00:00</c:v>
                </c:pt>
                <c:pt idx="1">
                  <c:v>00:15:00</c:v>
                </c:pt>
                <c:pt idx="2">
                  <c:v>00:30:00</c:v>
                </c:pt>
                <c:pt idx="3">
                  <c:v>00:45:00</c:v>
                </c:pt>
                <c:pt idx="4">
                  <c:v>01:00:00</c:v>
                </c:pt>
                <c:pt idx="5">
                  <c:v>01:15:00</c:v>
                </c:pt>
                <c:pt idx="6">
                  <c:v>01:30:00</c:v>
                </c:pt>
                <c:pt idx="7">
                  <c:v>01:45:00</c:v>
                </c:pt>
                <c:pt idx="8">
                  <c:v>02:00:00</c:v>
                </c:pt>
                <c:pt idx="9">
                  <c:v>02:15:00</c:v>
                </c:pt>
                <c:pt idx="10">
                  <c:v>02:30:00</c:v>
                </c:pt>
                <c:pt idx="11">
                  <c:v>02:45:00</c:v>
                </c:pt>
                <c:pt idx="12">
                  <c:v>03:00:00</c:v>
                </c:pt>
                <c:pt idx="13">
                  <c:v>03:15:00</c:v>
                </c:pt>
                <c:pt idx="14">
                  <c:v>03:30:00</c:v>
                </c:pt>
                <c:pt idx="15">
                  <c:v>04:00:00</c:v>
                </c:pt>
                <c:pt idx="16">
                  <c:v>04:15:00</c:v>
                </c:pt>
                <c:pt idx="17">
                  <c:v>04:30:00</c:v>
                </c:pt>
                <c:pt idx="18">
                  <c:v>04:45:00</c:v>
                </c:pt>
                <c:pt idx="19">
                  <c:v>05:00:00</c:v>
                </c:pt>
                <c:pt idx="20">
                  <c:v>05:15:00</c:v>
                </c:pt>
                <c:pt idx="21">
                  <c:v>05:30:00</c:v>
                </c:pt>
                <c:pt idx="22">
                  <c:v>05:45:00</c:v>
                </c:pt>
                <c:pt idx="23">
                  <c:v>06:00:00</c:v>
                </c:pt>
                <c:pt idx="24">
                  <c:v>06:15:00</c:v>
                </c:pt>
                <c:pt idx="25">
                  <c:v>06:30:00</c:v>
                </c:pt>
                <c:pt idx="26">
                  <c:v>06:45:00</c:v>
                </c:pt>
                <c:pt idx="27">
                  <c:v>07:00:00</c:v>
                </c:pt>
                <c:pt idx="28">
                  <c:v>07:15:00</c:v>
                </c:pt>
                <c:pt idx="29">
                  <c:v>07:30:00</c:v>
                </c:pt>
                <c:pt idx="30">
                  <c:v>07:45:00</c:v>
                </c:pt>
                <c:pt idx="31">
                  <c:v>08:00:00</c:v>
                </c:pt>
                <c:pt idx="32">
                  <c:v>08:15:00</c:v>
                </c:pt>
                <c:pt idx="33">
                  <c:v>08:30:00</c:v>
                </c:pt>
                <c:pt idx="34">
                  <c:v>08:45:00</c:v>
                </c:pt>
                <c:pt idx="35">
                  <c:v>09:00:00</c:v>
                </c:pt>
                <c:pt idx="36">
                  <c:v>09:15:00</c:v>
                </c:pt>
                <c:pt idx="37">
                  <c:v>09:30:00</c:v>
                </c:pt>
                <c:pt idx="38">
                  <c:v>09:45:00</c:v>
                </c:pt>
                <c:pt idx="39">
                  <c:v>10:00:00</c:v>
                </c:pt>
                <c:pt idx="40">
                  <c:v>10:15:00</c:v>
                </c:pt>
                <c:pt idx="41">
                  <c:v>10:30:00</c:v>
                </c:pt>
                <c:pt idx="42">
                  <c:v>10:45:00</c:v>
                </c:pt>
                <c:pt idx="43">
                  <c:v>11:00:00</c:v>
                </c:pt>
                <c:pt idx="44">
                  <c:v>11:15:00</c:v>
                </c:pt>
                <c:pt idx="45">
                  <c:v>11:30:00</c:v>
                </c:pt>
                <c:pt idx="46">
                  <c:v>11:45:00</c:v>
                </c:pt>
                <c:pt idx="47">
                  <c:v>12:00:00</c:v>
                </c:pt>
                <c:pt idx="48">
                  <c:v>12:15:00</c:v>
                </c:pt>
                <c:pt idx="49">
                  <c:v>12:30:00</c:v>
                </c:pt>
                <c:pt idx="50">
                  <c:v>12:45:00</c:v>
                </c:pt>
                <c:pt idx="51">
                  <c:v>13:00:00</c:v>
                </c:pt>
                <c:pt idx="52">
                  <c:v>13:15:00</c:v>
                </c:pt>
                <c:pt idx="53">
                  <c:v>13:30:00</c:v>
                </c:pt>
                <c:pt idx="54">
                  <c:v>13:45:00</c:v>
                </c:pt>
                <c:pt idx="55">
                  <c:v>14:00:00</c:v>
                </c:pt>
                <c:pt idx="56">
                  <c:v>14:15:00</c:v>
                </c:pt>
                <c:pt idx="57">
                  <c:v>14:30:00</c:v>
                </c:pt>
                <c:pt idx="58">
                  <c:v>14:45:00</c:v>
                </c:pt>
                <c:pt idx="59">
                  <c:v>15:00:00</c:v>
                </c:pt>
                <c:pt idx="60">
                  <c:v>15:15:00</c:v>
                </c:pt>
                <c:pt idx="61">
                  <c:v>15:30:00</c:v>
                </c:pt>
                <c:pt idx="62">
                  <c:v>15:45:00</c:v>
                </c:pt>
                <c:pt idx="63">
                  <c:v>16:00:00</c:v>
                </c:pt>
                <c:pt idx="64">
                  <c:v>16:15:00</c:v>
                </c:pt>
                <c:pt idx="65">
                  <c:v>16:30:00</c:v>
                </c:pt>
                <c:pt idx="66">
                  <c:v>16:45:00</c:v>
                </c:pt>
                <c:pt idx="67">
                  <c:v>17:00:00</c:v>
                </c:pt>
                <c:pt idx="68">
                  <c:v>17:15:00</c:v>
                </c:pt>
                <c:pt idx="69">
                  <c:v>17:30:00</c:v>
                </c:pt>
                <c:pt idx="70">
                  <c:v>17:45:00</c:v>
                </c:pt>
                <c:pt idx="71">
                  <c:v>18:00:00</c:v>
                </c:pt>
                <c:pt idx="72">
                  <c:v>18:15:00</c:v>
                </c:pt>
                <c:pt idx="73">
                  <c:v>18:30:00</c:v>
                </c:pt>
                <c:pt idx="74">
                  <c:v>18:45:00</c:v>
                </c:pt>
                <c:pt idx="75">
                  <c:v>19:00:00</c:v>
                </c:pt>
                <c:pt idx="76">
                  <c:v>19:15:00</c:v>
                </c:pt>
                <c:pt idx="77">
                  <c:v>19:30:00</c:v>
                </c:pt>
                <c:pt idx="78">
                  <c:v>19:45:00</c:v>
                </c:pt>
                <c:pt idx="79">
                  <c:v>20:00:00</c:v>
                </c:pt>
                <c:pt idx="80">
                  <c:v>20:15:00</c:v>
                </c:pt>
                <c:pt idx="81">
                  <c:v>20:30:00</c:v>
                </c:pt>
                <c:pt idx="82">
                  <c:v>20:45:00</c:v>
                </c:pt>
                <c:pt idx="83">
                  <c:v>21:00:00</c:v>
                </c:pt>
                <c:pt idx="84">
                  <c:v>21:15:00</c:v>
                </c:pt>
                <c:pt idx="85">
                  <c:v>21:30:00</c:v>
                </c:pt>
                <c:pt idx="86">
                  <c:v>21:45:00</c:v>
                </c:pt>
                <c:pt idx="87">
                  <c:v>22:00:00</c:v>
                </c:pt>
                <c:pt idx="88">
                  <c:v>22:15:00</c:v>
                </c:pt>
                <c:pt idx="89">
                  <c:v>22:30:00</c:v>
                </c:pt>
                <c:pt idx="90">
                  <c:v>22:45:00</c:v>
                </c:pt>
                <c:pt idx="91">
                  <c:v>23:00:00</c:v>
                </c:pt>
                <c:pt idx="92">
                  <c:v>23:15:00</c:v>
                </c:pt>
                <c:pt idx="93">
                  <c:v>23:30:00</c:v>
                </c:pt>
                <c:pt idx="94">
                  <c:v>23:45:00</c:v>
                </c:pt>
              </c:strCache>
            </c:strRef>
          </c:cat>
          <c:val>
            <c:numRef>
              <c:f>SearchesByTimeOfDay!$B$5:$B$100</c:f>
              <c:numCache>
                <c:formatCode>General</c:formatCode>
                <c:ptCount val="95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10</c:v>
                </c:pt>
                <c:pt idx="5">
                  <c:v>4</c:v>
                </c:pt>
                <c:pt idx="6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9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7</c:v>
                </c:pt>
                <c:pt idx="25">
                  <c:v>5</c:v>
                </c:pt>
                <c:pt idx="26">
                  <c:v>8</c:v>
                </c:pt>
                <c:pt idx="27">
                  <c:v>5</c:v>
                </c:pt>
                <c:pt idx="28">
                  <c:v>9</c:v>
                </c:pt>
                <c:pt idx="29">
                  <c:v>17</c:v>
                </c:pt>
                <c:pt idx="30">
                  <c:v>24</c:v>
                </c:pt>
                <c:pt idx="31">
                  <c:v>23</c:v>
                </c:pt>
                <c:pt idx="32">
                  <c:v>18</c:v>
                </c:pt>
                <c:pt idx="33">
                  <c:v>10</c:v>
                </c:pt>
                <c:pt idx="34">
                  <c:v>8</c:v>
                </c:pt>
                <c:pt idx="35">
                  <c:v>17</c:v>
                </c:pt>
                <c:pt idx="36">
                  <c:v>22</c:v>
                </c:pt>
                <c:pt idx="37">
                  <c:v>14</c:v>
                </c:pt>
                <c:pt idx="38">
                  <c:v>7</c:v>
                </c:pt>
                <c:pt idx="39">
                  <c:v>12</c:v>
                </c:pt>
                <c:pt idx="40">
                  <c:v>13</c:v>
                </c:pt>
                <c:pt idx="41">
                  <c:v>14</c:v>
                </c:pt>
                <c:pt idx="42">
                  <c:v>8</c:v>
                </c:pt>
                <c:pt idx="43">
                  <c:v>15</c:v>
                </c:pt>
                <c:pt idx="44">
                  <c:v>12</c:v>
                </c:pt>
                <c:pt idx="45">
                  <c:v>11</c:v>
                </c:pt>
                <c:pt idx="46">
                  <c:v>7</c:v>
                </c:pt>
                <c:pt idx="47">
                  <c:v>11</c:v>
                </c:pt>
                <c:pt idx="48">
                  <c:v>13</c:v>
                </c:pt>
                <c:pt idx="49">
                  <c:v>10</c:v>
                </c:pt>
                <c:pt idx="50">
                  <c:v>7</c:v>
                </c:pt>
                <c:pt idx="51">
                  <c:v>19</c:v>
                </c:pt>
                <c:pt idx="52">
                  <c:v>10</c:v>
                </c:pt>
                <c:pt idx="53">
                  <c:v>9</c:v>
                </c:pt>
                <c:pt idx="54">
                  <c:v>16</c:v>
                </c:pt>
                <c:pt idx="55">
                  <c:v>12</c:v>
                </c:pt>
                <c:pt idx="56">
                  <c:v>11</c:v>
                </c:pt>
                <c:pt idx="57">
                  <c:v>10</c:v>
                </c:pt>
                <c:pt idx="58">
                  <c:v>12</c:v>
                </c:pt>
                <c:pt idx="59">
                  <c:v>15</c:v>
                </c:pt>
                <c:pt idx="60">
                  <c:v>8</c:v>
                </c:pt>
                <c:pt idx="61">
                  <c:v>15</c:v>
                </c:pt>
                <c:pt idx="62">
                  <c:v>13</c:v>
                </c:pt>
                <c:pt idx="63">
                  <c:v>13</c:v>
                </c:pt>
                <c:pt idx="64">
                  <c:v>17</c:v>
                </c:pt>
                <c:pt idx="65">
                  <c:v>5</c:v>
                </c:pt>
                <c:pt idx="66">
                  <c:v>2</c:v>
                </c:pt>
                <c:pt idx="67">
                  <c:v>8</c:v>
                </c:pt>
                <c:pt idx="68">
                  <c:v>10</c:v>
                </c:pt>
                <c:pt idx="69">
                  <c:v>10</c:v>
                </c:pt>
                <c:pt idx="70">
                  <c:v>6</c:v>
                </c:pt>
                <c:pt idx="71">
                  <c:v>11</c:v>
                </c:pt>
                <c:pt idx="72">
                  <c:v>1</c:v>
                </c:pt>
                <c:pt idx="73">
                  <c:v>7</c:v>
                </c:pt>
                <c:pt idx="74">
                  <c:v>4</c:v>
                </c:pt>
                <c:pt idx="75">
                  <c:v>7</c:v>
                </c:pt>
                <c:pt idx="76">
                  <c:v>7</c:v>
                </c:pt>
                <c:pt idx="77">
                  <c:v>4</c:v>
                </c:pt>
                <c:pt idx="78">
                  <c:v>6</c:v>
                </c:pt>
                <c:pt idx="79">
                  <c:v>13</c:v>
                </c:pt>
                <c:pt idx="80">
                  <c:v>5</c:v>
                </c:pt>
                <c:pt idx="81">
                  <c:v>11</c:v>
                </c:pt>
                <c:pt idx="82">
                  <c:v>8</c:v>
                </c:pt>
                <c:pt idx="83">
                  <c:v>9</c:v>
                </c:pt>
                <c:pt idx="84">
                  <c:v>4</c:v>
                </c:pt>
                <c:pt idx="85">
                  <c:v>13</c:v>
                </c:pt>
                <c:pt idx="86">
                  <c:v>3</c:v>
                </c:pt>
                <c:pt idx="87">
                  <c:v>4</c:v>
                </c:pt>
                <c:pt idx="88">
                  <c:v>8</c:v>
                </c:pt>
                <c:pt idx="89">
                  <c:v>10</c:v>
                </c:pt>
                <c:pt idx="90">
                  <c:v>5</c:v>
                </c:pt>
                <c:pt idx="91">
                  <c:v>14</c:v>
                </c:pt>
                <c:pt idx="92">
                  <c:v>13</c:v>
                </c:pt>
                <c:pt idx="93">
                  <c:v>5</c:v>
                </c:pt>
                <c:pt idx="9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5A-46E0-8733-245AE1CB6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609503"/>
        <c:axId val="916610463"/>
      </c:lineChart>
      <c:catAx>
        <c:axId val="9166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10463"/>
        <c:crosses val="autoZero"/>
        <c:auto val="1"/>
        <c:lblAlgn val="ctr"/>
        <c:lblOffset val="100"/>
        <c:noMultiLvlLbl val="0"/>
      </c:catAx>
      <c:valAx>
        <c:axId val="9166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0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[SPDSearchAuditLogs.xlsx]SearchesOverTime!PivotTable1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SPD - Searches Over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SearchesOverTime!$B$4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SearchesOverTime!$A$5:$A$11</c:f>
              <c:strCache>
                <c:ptCount val="6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</c:strCache>
            </c:strRef>
          </c:cat>
          <c:val>
            <c:numRef>
              <c:f>SearchesOverTime!$B$5:$B$11</c:f>
              <c:numCache>
                <c:formatCode>General</c:formatCode>
                <c:ptCount val="6"/>
                <c:pt idx="0">
                  <c:v>3</c:v>
                </c:pt>
                <c:pt idx="1">
                  <c:v>83</c:v>
                </c:pt>
                <c:pt idx="2">
                  <c:v>160</c:v>
                </c:pt>
                <c:pt idx="3">
                  <c:v>224</c:v>
                </c:pt>
                <c:pt idx="4">
                  <c:v>341</c:v>
                </c:pt>
                <c:pt idx="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2A-4E7A-81F6-00E663BA6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609503"/>
        <c:axId val="916610463"/>
      </c:lineChart>
      <c:catAx>
        <c:axId val="9166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10463"/>
        <c:crosses val="autoZero"/>
        <c:auto val="1"/>
        <c:lblAlgn val="ctr"/>
        <c:lblOffset val="100"/>
        <c:noMultiLvlLbl val="0"/>
      </c:catAx>
      <c:valAx>
        <c:axId val="9166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60950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0</xdr:row>
      <xdr:rowOff>167640</xdr:rowOff>
    </xdr:from>
    <xdr:to>
      <xdr:col>8</xdr:col>
      <xdr:colOff>30480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13928-F179-7AEA-EFD0-DD0BA5BB8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317182</xdr:colOff>
      <xdr:row>23</xdr:row>
      <xdr:rowOff>60008</xdr:rowOff>
    </xdr:from>
    <xdr:to>
      <xdr:col>5</xdr:col>
      <xdr:colOff>1435423</xdr:colOff>
      <xdr:row>30</xdr:row>
      <xdr:rowOff>100972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searchDate">
              <a:extLst>
                <a:ext uri="{FF2B5EF4-FFF2-40B4-BE49-F238E27FC236}">
                  <a16:creationId xmlns:a16="http://schemas.microsoft.com/office/drawing/2014/main" id="{44803655-FB10-84EB-A0A7-CD38B2480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earch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4043" y="4337686"/>
              <a:ext cx="3406145" cy="1307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595313</xdr:colOff>
      <xdr:row>1</xdr:row>
      <xdr:rowOff>293370</xdr:rowOff>
    </xdr:from>
    <xdr:to>
      <xdr:col>8</xdr:col>
      <xdr:colOff>278137</xdr:colOff>
      <xdr:row>9</xdr:row>
      <xdr:rowOff>26677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erived-searchDatePST">
              <a:extLst>
                <a:ext uri="{FF2B5EF4-FFF2-40B4-BE49-F238E27FC236}">
                  <a16:creationId xmlns:a16="http://schemas.microsoft.com/office/drawing/2014/main" id="{8376A490-5D41-E02F-A905-641BC7904D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erived-searchDatePS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0079" y="472440"/>
              <a:ext cx="3338518" cy="1295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19</xdr:col>
      <xdr:colOff>601980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4062E-6A0A-FE49-A1F9-E13388C2E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24</xdr:row>
      <xdr:rowOff>9525</xdr:rowOff>
    </xdr:from>
    <xdr:to>
      <xdr:col>8</xdr:col>
      <xdr:colOff>291472</xdr:colOff>
      <xdr:row>31</xdr:row>
      <xdr:rowOff>50488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erived-searchDatePST 1">
              <a:extLst>
                <a:ext uri="{FF2B5EF4-FFF2-40B4-BE49-F238E27FC236}">
                  <a16:creationId xmlns:a16="http://schemas.microsoft.com/office/drawing/2014/main" id="{ABD5F343-9DE3-A09C-9E50-2F9820C92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erived-searchDatePS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0" y="45815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19</xdr:col>
      <xdr:colOff>601980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ACDBE-60CF-40BB-8E35-71D4FB57F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h May" refreshedDate="45945.481226851851" createdVersion="8" refreshedVersion="8" minRefreshableVersion="3" recordCount="854" xr:uid="{E4995366-D7B5-4FC3-9DF1-4C4FA94BFCB4}">
  <cacheSource type="worksheet">
    <worksheetSource name="SearchData"/>
  </cacheSource>
  <cacheFields count="13">
    <cacheField name="id" numFmtId="0">
      <sharedItems/>
    </cacheField>
    <cacheField name="userId" numFmtId="0">
      <sharedItems count="186">
        <s v="fb7d1ae3-db8c-4617-861d-2cf9a117f605"/>
        <s v="cef2b19d-858f-4d6a-97fd-946f0a9e2a7c"/>
        <s v="c2373a46-4390-4b71-99fc-086b9cbef937"/>
        <s v="98a65d8a-c993-4067-b67d-123814b4c2df"/>
        <s v="fbfa025f-202c-4c60-ae95-9396fc290dd5"/>
        <s v="5099fed4-b7f7-40de-b64e-73b9aa096b84"/>
        <s v="d6f7ed99-b681-4ed0-b468-5b0c109603c9"/>
        <s v="44e5ae6a-0939-4121-ae65-ff231ab15309"/>
        <s v="0759d13b-53e7-44e9-bc65-53346efac45c"/>
        <s v="865aaa25-37fd-44f2-8f3d-19f07c199275"/>
        <s v="01b52c2e-4688-4795-99d0-73acf2527701"/>
        <s v="ab73a004-3694-4797-b288-e59569aa831e"/>
        <s v="60e012f5-7340-49d4-aa4e-6a68be107dcf"/>
        <s v="bd053b0f-af8c-4cf8-9cd5-f906b5bceffd"/>
        <s v="fc8596ff-2949-4b4b-bb52-87aa9a1bd0e6"/>
        <s v="5db0b69a-8401-464f-92fe-4364df6a2a82"/>
        <s v="72d846eb-c44e-4bae-a861-6e2d24f613e4"/>
        <s v="17ab8242-d52a-4131-8b9e-ed8d3174a99c"/>
        <s v="42a9846a-b06a-4b21-8fb2-36fc24e69f80"/>
        <s v="162b0343-b201-4005-b31c-0555bcc14d1c"/>
        <s v="6d2d86c1-2a38-4fa2-ace4-f91f1c6b8b57"/>
        <s v="65e0d73f-b28f-4340-9e12-36a28757d541"/>
        <s v="8eca698f-3008-4022-ae08-06999f3a349a"/>
        <s v="dd5359fa-ec3a-4655-9dfa-39e6335223fc"/>
        <s v="f676770a-dae8-4a20-babd-c75f9e7cd427"/>
        <s v="a4c34cb7-c99b-49c6-bbf1-e2fbfc9efcd7"/>
        <s v="0e8ecca7-b160-48c7-a4b5-40e903392e23"/>
        <s v="92811fe2-772c-485e-b009-c0349817e9e9"/>
        <s v="390c34fc-169a-4122-b91c-e183fa1de770"/>
        <s v="08384b86-8d8c-40d4-9fec-f92a43633693"/>
        <s v="4f0ea4ac-825f-4bc2-acb1-f22585a5e829"/>
        <s v="efdce85f-2c0c-498a-b488-254717765ed8"/>
        <s v="cf20f9c8-a941-45d6-9b26-2e06938f66f6"/>
        <s v="154e5978-8ec6-4f0d-99c3-4582997c91bb"/>
        <s v="66f75625-e92d-4055-bc78-78149c0bf4a5"/>
        <s v="ad0cce28-c2da-48f5-8a3d-0162e4753757"/>
        <s v="2d4eebd6-c6c8-4d60-8a59-3a622105992c"/>
        <s v="afc40c1e-180f-45f1-9033-ad9f7b06ef6c"/>
        <s v="d659d111-5798-464a-b7e4-153f7897244f"/>
        <s v="9d79733b-3b43-49d3-968c-eaa94a92ae19"/>
        <s v="bffb65a5-a3ae-4766-b045-113f0eec4a50"/>
        <s v="587e52c3-e5b1-494d-bc15-943a853a26f5" u="1"/>
        <s v="15fc7bab-e1c2-4869-ad89-3ba831a709c0" u="1"/>
        <s v="6c18e8b0-e81e-49a1-82bc-a96e328d3f45" u="1"/>
        <s v="b1f87394-cc16-4b82-aa24-f1ec21349db6" u="1"/>
        <s v="b78d3907-8321-425a-86bd-0b784f952c40" u="1"/>
        <s v="6b0aa832-6957-48b8-9d5b-436290c94808" u="1"/>
        <s v="a6541d71-3122-472e-819b-657ca6ebe92f" u="1"/>
        <s v="61726e3d-f533-4661-9591-6dd24683a822" u="1"/>
        <s v="c2f04472-d7d7-4f0b-8995-efc1f9396efe" u="1"/>
        <s v="47b76ecc-896c-4cad-a8c5-bba4aae73c99" u="1"/>
        <s v="13433ee4-19df-410d-9bc8-c3b1cf58c0d1" u="1"/>
        <s v="7ada439a-a067-4748-839f-c7840e8062b8" u="1"/>
        <s v="33bc4c86-f5b0-4eca-9ad8-44ab35f10d20" u="1"/>
        <s v="0bd66644-3b01-4af9-92f2-ccaaf5a2b7a8" u="1"/>
        <s v="a0ad60d2-b484-4f29-b48d-6960037a7543" u="1"/>
        <s v="3abf61c1-7fee-4028-ac21-e3a029e1ed5f" u="1"/>
        <s v="fe88a3bb-c53c-41b6-8ca5-74c4024c8087" u="1"/>
        <s v="c1c8db71-0a41-43b2-99a3-d20574d5cae6" u="1"/>
        <s v="faa06b93-61c0-4af3-8720-177318d886c7" u="1"/>
        <s v="7e478361-4995-42a4-b4f8-990fd72793fe" u="1"/>
        <s v="89c432c6-5892-4c96-8f27-56e85915877b" u="1"/>
        <s v="e131c74b-f569-4ffc-a92c-1e48d2fd3547" u="1"/>
        <s v="066c1e1d-204c-4eeb-954a-a1a50f9761a7" u="1"/>
        <s v="82b3ee30-b6fb-4f19-9834-f658b1f1144a" u="1"/>
        <s v="9990f284-43bf-4dad-99bd-080b7c526bca" u="1"/>
        <s v="071266d9-d9f0-44cb-8e13-47fad359bb9a" u="1"/>
        <s v="5a867e0e-f6bf-436a-8a87-57eb99da1f4b" u="1"/>
        <s v="e0ffa216-34ac-439e-a73d-58ba4e8c2162" u="1"/>
        <s v="ca1b243d-cc3c-45cd-ab33-1107c2402f77" u="1"/>
        <s v="cdae4bfe-f180-413f-9b71-00be0f55716a" u="1"/>
        <s v="14575771-5a1a-458d-a2d9-b43b9a1e93bf" u="1"/>
        <s v="46532411-116c-4626-a156-8f311976c8b9" u="1"/>
        <s v="63a53ba3-8d74-4979-b4bd-042da560ddc6" u="1"/>
        <s v="66b8083f-11ad-424f-bed2-1c8a08f1e15a" u="1"/>
        <s v="90d3866a-6b47-4bdd-aeca-ce5ad08ba9d5" u="1"/>
        <s v="056ab100-d628-4780-9f3e-c6adf76d8283" u="1"/>
        <s v="99117f69-43cc-45db-90af-6872a99ba113" u="1"/>
        <s v="3eb840f1-824c-4a04-883d-2a7307cceabc" u="1"/>
        <s v="6231983d-275d-4ecb-bc44-751a37a42de9" u="1"/>
        <s v="e8793363-03f8-4df6-b2b8-4cf830a0acae" u="1"/>
        <s v="0dcbf4ee-67b0-421f-a1a6-86fbc936a69c" u="1"/>
        <s v="31e383b7-99eb-4ccd-878a-9a8b440f46bc" u="1"/>
        <s v="0098cce9-75ca-4dcf-b5a0-c012a3575941" u="1"/>
        <s v="369e55fd-ff18-4f88-93d4-c175acb52667" u="1"/>
        <s v="805ee844-510c-4394-9ce2-c4fcde574425" u="1"/>
        <s v="43e39f16-9f8d-49b1-ab11-58a3dbc71ed3" u="1"/>
        <s v="9834c3e7-90e8-4711-99ea-9d8f44dea00b" u="1"/>
        <s v="0637141a-c81a-4f61-970b-336114802e73" u="1"/>
        <s v="325a26bc-7533-48c4-a5ce-3a50889945ce" u="1"/>
        <s v="a68a3b4d-612c-4f24-9802-18fdfb12201f" u="1"/>
        <s v="f2470515-5d8f-4dee-b2f4-0b6705cc23c5" u="1"/>
        <s v="ec6f920d-8591-4e9c-9d45-b0376ec9266c" u="1"/>
        <s v="ac4fb702-8f91-4da6-b6b2-220ded49c3da" u="1"/>
        <s v="589bab67-cba6-46f1-9b17-63f0c96f9d0b" u="1"/>
        <s v="d2d12ca8-745d-43bf-b2e3-6b92925c6e23" u="1"/>
        <s v="999b8168-6ed4-4ed4-b561-585c309440d0" u="1"/>
        <s v="493a201b-3808-4c75-85d3-c1e3fed44bcf" u="1"/>
        <s v="6e788a1c-9c39-444c-8b80-571daf0db139" u="1"/>
        <s v="7f7b1fc5-0aff-45fb-b6bb-a35174a7d466" u="1"/>
        <s v="6e0693f1-1a33-440c-8e94-28ec11f24a4b" u="1"/>
        <s v="fbbb50fd-6c5f-408d-a817-cd795a78cb2d" u="1"/>
        <s v="603a352d-298d-43f3-8640-cbb95a481660" u="1"/>
        <s v="4b33014f-088c-4dc2-b41e-029c662ef4b2" u="1"/>
        <s v="a8d7d6d2-5aa9-413a-b4d5-845e22bf3b05" u="1"/>
        <s v="89f954d9-026e-4cdb-95ab-0cfca16054a7" u="1"/>
        <s v="2affbaf0-f81d-4375-8903-b7356febf750" u="1"/>
        <s v="60ba5184-43ec-4dad-946c-4b7f38ca7a87" u="1"/>
        <s v="d5ce403e-4de4-45ec-8902-55cf5fe1724c" u="1"/>
        <s v="f4152867-be08-4cf7-8d46-a926670a9b88" u="1"/>
        <s v="06bd74fd-0c73-4732-86e7-b5cbe8f8781b" u="1"/>
        <s v="40b01195-9de9-4c85-8450-878d2a857658" u="1"/>
        <s v="2b1e304f-6b62-4db4-b0cc-acf87140bda6" u="1"/>
        <s v="cd05dc49-7ae0-408c-a602-a8ac273a25a7" u="1"/>
        <s v="eb89f1cb-1054-469f-9a8c-9e58c9b09037" u="1"/>
        <s v="94f96e79-dc3d-47de-8ea3-463c8d4c408d" u="1"/>
        <s v="2ef4df60-771a-4d4a-b9cd-6aaf8bb2d0cb" u="1"/>
        <s v="9716dc93-1ee4-4c2b-8171-909a40b0072f" u="1"/>
        <s v="9f1783ed-4c09-47cf-91a0-7bac8628cbbb" u="1"/>
        <s v="34be44b2-0ea6-40d7-84cb-b5e2310ebce8" u="1"/>
        <s v="4e682245-fff7-4055-90be-d898b1bcb31c" u="1"/>
        <s v="d7e65c09-9fd7-49eb-a881-d2636a27fb7a" u="1"/>
        <s v="99d79d9a-e3d6-4a64-932b-c2d3e7495d41" u="1"/>
        <s v="6ead177d-fbe3-4a51-b5c1-12c1b8b1833c" u="1"/>
        <s v="ad8ac820-8d0d-41d7-a2c9-cf563d6750d4" u="1"/>
        <s v="fc7657ab-dd51-4efc-b5e0-4f1e7c38ca35" u="1"/>
        <s v="ab4fb883-7904-4026-b00d-fa737808f0c6" u="1"/>
        <s v="aed16a6f-757f-4ffd-975a-71c5b3fa45fe" u="1"/>
        <s v="9ee99d65-9d85-4240-b80b-2802ca6bc2fe" u="1"/>
        <s v="24eec171-70c2-4823-94ff-e255f585e174" u="1"/>
        <s v="23739276-5868-4a10-981b-0cf3a9e170dd" u="1"/>
        <s v="93bd15bb-b6f0-4757-b401-0b12dedcb611" u="1"/>
        <s v="7bf17060-4249-4eda-9015-f210e18c42fc" u="1"/>
        <s v="245b75c2-72ef-475f-a7d8-e457963aee32" u="1"/>
        <s v="a1365cd7-aaff-47b2-892f-27180e5d4eda" u="1"/>
        <s v="4a5141e6-f4c8-4304-8c40-2e19715a4512" u="1"/>
        <s v="b7bafc33-36bb-49bf-afba-e40a267bf223" u="1"/>
        <s v="210a037c-cf09-41f3-9350-29bc2ae710ca" u="1"/>
        <s v="2d630c8a-11ee-4879-a3a4-8bfa3def1240" u="1"/>
        <s v="d22a256d-89ba-45ed-b77f-2b4040b270e5" u="1"/>
        <s v="0f7cbc4e-2dd4-4f5f-b7c2-4e387ee54a52" u="1"/>
        <s v="293447c6-17f8-478d-81ef-25d0feea893f" u="1"/>
        <s v="a74517fa-1b70-44b1-a35f-95f9410450b4" u="1"/>
        <s v="908f5428-24d5-4da1-a3d8-a54d6cf5e88d" u="1"/>
        <s v="b003b70f-16ab-4b5a-8e28-05735340271b" u="1"/>
        <s v="ab123fa7-a8ee-47ab-8d0d-43dc2026a70b" u="1"/>
        <s v="3a4c5910-a5d4-43ab-8e99-0ad3be8f0120" u="1"/>
        <s v="700c74c4-bf16-4d0b-9c22-8267e08709ca" u="1"/>
        <s v="03e65548-aa8d-421c-abe9-9255bebd7999" u="1"/>
        <s v="1b48ad5d-0613-49b7-924b-4c262581ebe2" u="1"/>
        <s v="c2a424ac-fb5f-47ca-aa64-ea5a3b54b487" u="1"/>
        <s v="55d80ae2-649f-4332-9baa-5aa2a141ba1b" u="1"/>
        <s v="d4f48750-8343-4e03-b0a6-252b86ef1965" u="1"/>
        <s v="952ebafd-71e7-4c41-b2b7-22e1e8edd873" u="1"/>
        <s v="86728b1f-eef2-4396-a297-e6fcf0f25a0c" u="1"/>
        <s v="fcf53587-c2c4-49bb-a6da-27dd10fa19ef" u="1"/>
        <s v="8229e5b6-0402-49e2-9533-f6f6865dd847" u="1"/>
        <s v="0062cad4-6f3b-4796-a4ea-fe83e9400f4a" u="1"/>
        <s v="a0246511-2423-4b27-bafd-0a83f36b0ad7" u="1"/>
        <s v="ab063fb7-4b20-4de2-921d-5637d87975b7" u="1"/>
        <s v="80628cf7-f3e0-47b6-a1b2-07542af135c6" u="1"/>
        <s v="a012359a-8577-4831-8de6-53968caef773" u="1"/>
        <s v="dedd7109-a920-4bb9-afa0-2d6abba976b7" u="1"/>
        <s v="5d7ea13a-97dc-4e01-b65c-8e659ef057b5" u="1"/>
        <s v="90bc51cc-974e-4320-b2d0-e757e1f2dc44" u="1"/>
        <s v="259feb70-02b4-4d86-89ec-7e3b8c92398e" u="1"/>
        <s v="af200436-7e2a-4651-8fb7-007c6f5c5ae5" u="1"/>
        <s v="5b0955aa-4a4d-4884-af87-b87d5ecb4ca3" u="1"/>
        <s v="a363fecb-2738-4ba3-ac3c-4a198c7e79f4" u="1"/>
        <s v="a63a73be-77c5-48ff-a7ab-e1df693fc865" u="1"/>
        <s v="7fd7b8dd-3977-4eab-aeb7-1a045446c405" u="1"/>
        <s v="14b399e7-c138-4da4-97a0-cd1a6082b7d8" u="1"/>
        <s v="6fdad808-52e4-437a-926f-14a6752998ee" u="1"/>
        <s v="a2f2bb15-abaf-47f3-ba58-caaaf8731efc" u="1"/>
        <s v="8a3554f2-039c-4149-a1c0-4e5952209019" u="1"/>
        <s v="c580fced-c7b8-4b7e-bb37-2934b874964c" u="1"/>
        <s v="7606039d-8b08-486b-850d-81dd2c7a2561" u="1"/>
        <s v="7f902e63-6080-4f1f-8f88-154bea7a5c94" u="1"/>
        <s v="1b31ef4c-baa1-45a4-abd1-d7ad62110ff0" u="1"/>
        <s v="c94c85be-1fb0-4008-91cb-623353932734" u="1"/>
        <s v="8a01e908-d52e-48dc-bb7e-83a5873787e1" u="1"/>
        <s v="0c1f5369-ff67-485a-afd0-f920c1d2056b" u="1"/>
        <s v="1b14499b-8bef-4658-a574-fffa72de46aa" u="1"/>
        <s v="913f9130-3da7-48e4-ba7d-f5c7cfa181f5" u="1"/>
        <s v="6ace3865-d232-4c9f-b69b-7c9ef8eba4d5" u="1"/>
        <s v="ed588c44-0206-494a-90f8-1ce97be90dbd" u="1"/>
      </sharedItems>
    </cacheField>
    <cacheField name="searchDate" numFmtId="164">
      <sharedItems containsSemiMixedTypes="0" containsNonDate="0" containsDate="1" containsString="0" minDate="2025-05-30T16:22:05" maxDate="2025-10-11T13:20:06" count="4721">
        <d v="2025-05-30T16:22:05"/>
        <d v="2025-06-03T23:35:58"/>
        <d v="2025-06-03T22:32:58"/>
        <d v="2025-06-03T21:59:09"/>
        <d v="2025-06-03T21:00:40"/>
        <d v="2025-06-03T20:55:50"/>
        <d v="2025-06-03T19:38:18"/>
        <d v="2025-06-02T23:47:27"/>
        <d v="2025-06-02T17:13:47"/>
        <d v="2025-06-02T16:16:28"/>
        <d v="2025-06-02T15:58:08"/>
        <d v="2025-06-01T22:05:44"/>
        <d v="2025-05-30T21:46:09"/>
        <d v="2025-05-30T17:25:46"/>
        <d v="2025-06-04T23:35:16"/>
        <d v="2025-06-04T23:48:37"/>
        <d v="2025-06-05T17:11:06"/>
        <d v="2025-06-05T19:05:53"/>
        <d v="2025-06-05T20:17:00"/>
        <d v="2025-06-05T21:10:21"/>
        <d v="2025-06-05T23:00:30"/>
        <d v="2025-06-06T15:25:05"/>
        <d v="2025-06-06T15:31:22"/>
        <d v="2025-06-06T16:17:59"/>
        <d v="2025-06-06T16:18:56"/>
        <d v="2025-06-06T16:53:54"/>
        <d v="2025-06-06T18:27:22"/>
        <d v="2025-06-09T04:36:24"/>
        <d v="2025-06-09T15:51:57"/>
        <d v="2025-06-09T17:59:27"/>
        <d v="2025-06-09T18:01:32"/>
        <d v="2025-06-09T22:49:44"/>
        <d v="2025-06-09T23:51:30"/>
        <d v="2025-06-10T21:38:03"/>
        <d v="2025-06-11T08:17:39"/>
        <d v="2025-06-11T17:02:24"/>
        <d v="2025-06-11T19:44:54"/>
        <d v="2025-06-11T20:08:41"/>
        <d v="2025-06-11T23:45:58"/>
        <d v="2025-06-11T23:48:24"/>
        <d v="2025-06-16T14:32:16"/>
        <d v="2025-06-16T15:39:57"/>
        <d v="2025-06-16T17:40:44"/>
        <d v="2025-06-17T15:43:48"/>
        <d v="2025-06-17T16:16:07"/>
        <d v="2025-06-17T16:23:37"/>
        <d v="2025-06-17T17:17:25"/>
        <d v="2025-06-17T18:13:43"/>
        <d v="2025-06-17T18:14:12"/>
        <d v="2025-06-18T14:18:36"/>
        <d v="2025-06-18T15:26:43"/>
        <d v="2025-06-18T16:27:58"/>
        <d v="2025-06-18T17:10:47"/>
        <d v="2025-06-18T18:31:56"/>
        <d v="2025-06-18T18:34:39"/>
        <d v="2025-06-18T18:48:08"/>
        <d v="2025-06-18T19:35:57"/>
        <d v="2025-06-18T19:39:47"/>
        <d v="2025-06-18T19:56:41"/>
        <d v="2025-06-18T20:33:51"/>
        <d v="2025-06-18T20:51:35"/>
        <d v="2025-06-18T22:07:12"/>
        <d v="2025-06-18T22:22:07"/>
        <d v="2025-06-19T15:53:04"/>
        <d v="2025-06-19T17:13:14"/>
        <d v="2025-06-19T20:05:33"/>
        <d v="2025-06-20T20:54:54"/>
        <d v="2025-06-20T20:56:48"/>
        <d v="2025-06-20T20:57:00"/>
        <d v="2025-06-20T20:57:57"/>
        <d v="2025-06-22T17:22:48"/>
        <d v="2025-06-25T01:47:57"/>
        <d v="2025-06-27T15:21:35"/>
        <d v="2025-06-27T23:35:17"/>
        <d v="2025-06-29T05:30:11"/>
        <d v="2025-06-29T19:07:23"/>
        <d v="2025-06-29T19:07:56"/>
        <d v="2025-06-29T19:10:25"/>
        <d v="2025-06-29T19:14:55"/>
        <d v="2025-06-29T19:35:17"/>
        <d v="2025-06-29T19:38:04"/>
        <d v="2025-06-29T22:00:25"/>
        <d v="2025-06-30T12:12:36"/>
        <d v="2025-06-30T12:13:04"/>
        <d v="2025-07-01T07:15:30"/>
        <d v="2025-07-01T07:19:45"/>
        <d v="2025-07-02T15:44:02"/>
        <d v="2025-07-02T16:04:10"/>
        <d v="2025-07-02T17:07:05"/>
        <d v="2025-07-03T15:20:22"/>
        <d v="2025-07-03T16:14:23"/>
        <d v="2025-07-03T20:18:23"/>
        <d v="2025-07-04T14:34:49"/>
        <d v="2025-07-04T15:23:15"/>
        <d v="2025-07-04T16:05:44"/>
        <d v="2025-07-04T17:09:19"/>
        <d v="2025-07-04T20:57:17"/>
        <d v="2025-07-04T21:30:29"/>
        <d v="2025-07-04T22:38:46"/>
        <d v="2025-07-04T22:40:22"/>
        <d v="2025-07-07T03:24:28"/>
        <d v="2025-07-07T03:24:34"/>
        <d v="2025-07-07T04:16:36"/>
        <d v="2025-07-07T04:35:14"/>
        <d v="2025-07-07T05:00:12"/>
        <d v="2025-07-08T15:24:26"/>
        <d v="2025-07-09T15:53:52"/>
        <d v="2025-07-09T19:01:10"/>
        <d v="2025-07-09T20:00:23"/>
        <d v="2025-07-09T21:06:14"/>
        <d v="2025-07-09T21:18:20"/>
        <d v="2025-07-09T22:04:36"/>
        <d v="2025-07-09T22:25:40"/>
        <d v="2025-07-09T23:00:24"/>
        <d v="2025-07-10T00:00:07"/>
        <d v="2025-07-10T00:10:24"/>
        <d v="2025-07-10T00:11:08"/>
        <d v="2025-07-10T01:00:03"/>
        <d v="2025-07-10T01:03:05"/>
        <d v="2025-07-10T01:07:02"/>
        <d v="2025-07-10T01:54:47"/>
        <d v="2025-07-10T02:00:13"/>
        <d v="2025-07-10T02:00:44"/>
        <d v="2025-07-10T02:25:45"/>
        <d v="2025-07-10T03:01:12"/>
        <d v="2025-07-10T04:02:49"/>
        <d v="2025-07-10T04:04:34"/>
        <d v="2025-07-10T04:24:45"/>
        <d v="2025-07-10T04:33:23"/>
        <d v="2025-07-10T05:00:29"/>
        <d v="2025-07-10T05:26:35"/>
        <d v="2025-07-10T05:50:17"/>
        <d v="2025-07-10T06:27:03"/>
        <d v="2025-07-10T07:23:44"/>
        <d v="2025-07-10T08:02:05"/>
        <d v="2025-07-10T09:28:29"/>
        <d v="2025-07-10T09:41:26"/>
        <d v="2025-07-10T09:41:55"/>
        <d v="2025-07-10T09:43:18"/>
        <d v="2025-07-10T09:45:22"/>
        <d v="2025-07-10T10:03:32"/>
        <d v="2025-07-10T10:07:17"/>
        <d v="2025-07-10T11:11:12"/>
        <d v="2025-07-10T11:12:05"/>
        <d v="2025-07-10T13:18:11"/>
        <d v="2025-07-10T13:38:04"/>
        <d v="2025-07-10T14:06:56"/>
        <d v="2025-07-10T14:11:49"/>
        <d v="2025-07-10T14:42:06"/>
        <d v="2025-07-10T15:01:04"/>
        <d v="2025-07-10T17:18:57"/>
        <d v="2025-07-10T17:23:34"/>
        <d v="2025-07-10T18:25:39"/>
        <d v="2025-07-10T18:26:15"/>
        <d v="2025-07-10T18:57:56"/>
        <d v="2025-07-10T19:01:46"/>
        <d v="2025-07-10T19:40:45"/>
        <d v="2025-07-10T19:57:12"/>
        <d v="2025-07-10T20:38:01"/>
        <d v="2025-07-11T08:41:19"/>
        <d v="2025-07-11T08:50:15"/>
        <d v="2025-07-11T08:50:26"/>
        <d v="2025-07-11T08:52:51"/>
        <d v="2025-07-11T13:01:23"/>
        <d v="2025-07-11T13:01:33"/>
        <d v="2025-07-11T16:55:56"/>
        <d v="2025-07-11T18:20:11"/>
        <d v="2025-07-11T20:57:34"/>
        <d v="2025-07-12T05:55:16"/>
        <d v="2025-07-14T14:59:55"/>
        <d v="2025-07-14T15:04:19"/>
        <d v="2025-07-15T15:21:18"/>
        <d v="2025-07-15T15:25:05"/>
        <d v="2025-07-15T16:19:40"/>
        <d v="2025-07-16T15:40:36"/>
        <d v="2025-07-16T15:46:29"/>
        <d v="2025-07-16T16:00:02"/>
        <d v="2025-07-16T18:30:16"/>
        <d v="2025-07-17T01:30:02"/>
        <d v="2025-07-17T02:24:04"/>
        <d v="2025-07-17T03:06:50"/>
        <d v="2025-07-17T03:31:58"/>
        <d v="2025-07-17T04:02:25"/>
        <d v="2025-07-17T05:07:38"/>
        <d v="2025-07-17T14:15:05"/>
        <d v="2025-07-17T15:42:36"/>
        <d v="2025-07-17T16:18:21"/>
        <d v="2025-07-17T16:55:00"/>
        <d v="2025-07-17T17:09:27"/>
        <d v="2025-07-17T19:04:59"/>
        <d v="2025-07-17T20:00:27"/>
        <d v="2025-07-17T20:18:40"/>
        <d v="2025-07-17T20:44:07"/>
        <d v="2025-07-17T21:58:41"/>
        <d v="2025-07-17T23:31:08"/>
        <d v="2025-07-18T12:03:19"/>
        <d v="2025-07-19T10:19:58"/>
        <d v="2025-07-19T10:23:20"/>
        <d v="2025-07-21T00:16:22"/>
        <d v="2025-07-21T00:27:56"/>
        <d v="2025-07-21T01:30:27"/>
        <d v="2025-07-21T02:04:41"/>
        <d v="2025-07-21T07:39:32"/>
        <d v="2025-07-21T16:09:05"/>
        <d v="2025-07-21T16:16:28"/>
        <d v="2025-07-21T22:20:57"/>
        <d v="2025-07-22T03:57:05"/>
        <d v="2025-07-22T08:35:17"/>
        <d v="2025-07-22T08:36:37"/>
        <d v="2025-07-22T15:43:38"/>
        <d v="2025-07-22T22:24:17"/>
        <d v="2025-07-22T23:04:25"/>
        <d v="2025-07-22T23:04:48"/>
        <d v="2025-07-23T15:33:50"/>
        <d v="2025-07-24T15:41:07"/>
        <d v="2025-07-24T17:42:01"/>
        <d v="2025-07-24T21:03:26"/>
        <d v="2025-07-25T15:46:27"/>
        <d v="2025-07-25T15:46:47"/>
        <d v="2025-07-25T15:47:43"/>
        <d v="2025-07-25T21:40:52"/>
        <d v="2025-07-25T21:41:35"/>
        <d v="2025-07-26T04:10:24"/>
        <d v="2025-07-26T06:57:58"/>
        <d v="2025-07-26T07:04:15"/>
        <d v="2025-07-26T16:31:56"/>
        <d v="2025-07-27T04:00:28"/>
        <d v="2025-07-27T05:35:19"/>
        <d v="2025-07-27T13:40:09"/>
        <d v="2025-07-27T22:30:11"/>
        <d v="2025-07-27T23:08:15"/>
        <d v="2025-07-28T00:14:02"/>
        <d v="2025-07-28T02:38:54"/>
        <d v="2025-07-28T03:42:09"/>
        <d v="2025-07-28T05:55:44"/>
        <d v="2025-07-28T06:18:18"/>
        <d v="2025-07-28T10:02:15"/>
        <d v="2025-07-28T15:46:05"/>
        <d v="2025-07-28T16:04:31"/>
        <d v="2025-07-28T16:06:42"/>
        <d v="2025-07-28T20:36:50"/>
        <d v="2025-07-29T15:25:52"/>
        <d v="2025-07-29T19:43:52"/>
        <d v="2025-07-30T01:11:02"/>
        <d v="2025-07-30T07:09:12"/>
        <d v="2025-07-30T14:15:26"/>
        <d v="2025-08-01T15:40:26"/>
        <d v="2025-08-02T13:50:59"/>
        <d v="2025-08-02T14:40:16"/>
        <d v="2025-08-02T17:43:16"/>
        <d v="2025-08-02T17:45:11"/>
        <d v="2025-08-02T19:29:37"/>
        <d v="2025-08-04T21:16:08"/>
        <d v="2025-08-05T16:43:07"/>
        <d v="2025-08-06T17:36:35"/>
        <d v="2025-08-06T17:55:55"/>
        <d v="2025-08-06T20:26:18"/>
        <d v="2025-08-06T20:29:42"/>
        <d v="2025-08-06T23:06:32"/>
        <d v="2025-08-06T23:42:07"/>
        <d v="2025-08-07T00:15:49"/>
        <d v="2025-08-07T15:06:31"/>
        <d v="2025-08-07T15:07:53"/>
        <d v="2025-08-07T16:05:40"/>
        <d v="2025-08-07T17:22:48"/>
        <d v="2025-08-07T18:28:22"/>
        <d v="2025-08-07T19:18:57"/>
        <d v="2025-08-07T20:19:46"/>
        <d v="2025-08-07T20:20:10"/>
        <d v="2025-08-07T21:15:53"/>
        <d v="2025-08-07T21:38:04"/>
        <d v="2025-08-07T22:54:51"/>
        <d v="2025-08-07T23:55:14"/>
        <d v="2025-08-08T00:55:43"/>
        <d v="2025-08-08T06:58:28"/>
        <d v="2025-08-08T06:59:06"/>
        <d v="2025-08-08T07:00:05"/>
        <d v="2025-08-08T07:04:31"/>
        <d v="2025-08-08T08:25:24"/>
        <d v="2025-08-08T08:37:47"/>
        <d v="2025-08-08T08:40:12"/>
        <d v="2025-08-08T09:00:00"/>
        <d v="2025-08-08T09:01:22"/>
        <d v="2025-08-09T06:12:06"/>
        <d v="2025-08-09T06:23:40"/>
        <d v="2025-08-09T17:00:16"/>
        <d v="2025-08-09T17:16:48"/>
        <d v="2025-08-10T03:58:17"/>
        <d v="2025-08-10T05:04:29"/>
        <d v="2025-08-10T07:03:42"/>
        <d v="2025-08-10T07:37:51"/>
        <d v="2025-08-10T10:39:36"/>
        <d v="2025-08-10T14:06:55"/>
        <d v="2025-08-10T16:45:37"/>
        <d v="2025-08-10T19:15:11"/>
        <d v="2025-08-10T19:17:08"/>
        <d v="2025-08-11T00:37:52"/>
        <d v="2025-08-11T09:51:47"/>
        <d v="2025-08-11T15:27:11"/>
        <d v="2025-08-11T15:42:53"/>
        <d v="2025-08-11T15:54:16"/>
        <d v="2025-08-11T16:01:32"/>
        <d v="2025-08-11T18:18:39"/>
        <d v="2025-08-11T18:46:20"/>
        <d v="2025-08-11T22:50:29"/>
        <d v="2025-08-11T23:00:00"/>
        <d v="2025-08-12T01:19:13"/>
        <d v="2025-08-12T20:09:04"/>
        <d v="2025-08-12T21:02:06"/>
        <d v="2025-08-12T22:17:08"/>
        <d v="2025-08-12T22:29:33"/>
        <d v="2025-08-12T23:24:45"/>
        <d v="2025-08-12T23:26:07"/>
        <d v="2025-08-12T23:32:33"/>
        <d v="2025-08-13T00:00:05"/>
        <d v="2025-08-13T16:45:13"/>
        <d v="2025-08-13T16:52:25"/>
        <d v="2025-08-13T16:54:39"/>
        <d v="2025-08-13T17:07:46"/>
        <d v="2025-08-13T17:23:01"/>
        <d v="2025-08-13T18:00:55"/>
        <d v="2025-08-13T18:24:33"/>
        <d v="2025-08-13T19:20:26"/>
        <d v="2025-08-13T20:21:46"/>
        <d v="2025-08-13T21:45:06"/>
        <d v="2025-08-13T22:00:02"/>
        <d v="2025-08-14T16:44:43"/>
        <d v="2025-08-14T20:02:54"/>
        <d v="2025-08-14T23:00:51"/>
        <d v="2025-08-14T23:20:57"/>
        <d v="2025-08-15T00:14:34"/>
        <d v="2025-08-15T01:22:34"/>
        <d v="2025-08-15T01:23:51"/>
        <d v="2025-08-15T01:40:33"/>
        <d v="2025-08-15T14:26:01"/>
        <d v="2025-08-15T15:31:05"/>
        <d v="2025-08-15T20:12:31"/>
        <d v="2025-08-15T21:40:25"/>
        <d v="2025-08-16T05:33:08"/>
        <d v="2025-08-16T06:12:40"/>
        <d v="2025-08-16T08:17:29"/>
        <d v="2025-08-16T14:26:12"/>
        <d v="2025-08-16T15:24:16"/>
        <d v="2025-08-16T15:42:55"/>
        <d v="2025-08-17T02:57:21"/>
        <d v="2025-08-17T05:39:32"/>
        <d v="2025-08-17T08:34:22"/>
        <d v="2025-08-17T11:13:05"/>
        <d v="2025-08-17T11:13:13"/>
        <d v="2025-08-17T11:14:55"/>
        <d v="2025-08-17T14:09:07"/>
        <d v="2025-08-17T14:09:46"/>
        <d v="2025-08-17T16:15:33"/>
        <d v="2025-08-17T17:06:57"/>
        <d v="2025-08-18T10:01:25"/>
        <d v="2025-08-18T10:12:41"/>
        <d v="2025-08-18T10:14:31"/>
        <d v="2025-08-18T16:02:20"/>
        <d v="2025-08-18T16:22:34"/>
        <d v="2025-08-18T17:06:02"/>
        <d v="2025-08-18T17:27:56"/>
        <d v="2025-08-18T18:30:44"/>
        <d v="2025-08-18T18:35:40"/>
        <d v="2025-08-18T18:42:23"/>
        <d v="2025-08-18T19:06:48"/>
        <d v="2025-08-18T19:28:03"/>
        <d v="2025-08-18T19:31:12"/>
        <d v="2025-08-18T23:37:40"/>
        <d v="2025-08-19T16:08:12"/>
        <d v="2025-08-19T16:31:31"/>
        <d v="2025-08-19T17:30:46"/>
        <d v="2025-08-19T22:03:12"/>
        <d v="2025-08-20T01:09:56"/>
        <d v="2025-08-20T01:31:06"/>
        <d v="2025-08-20T06:28:01"/>
        <d v="2025-08-20T07:34:15"/>
        <d v="2025-08-20T10:09:43"/>
        <d v="2025-08-20T11:20:14"/>
        <d v="2025-08-20T12:13:32"/>
        <d v="2025-08-20T16:46:39"/>
        <d v="2025-08-20T21:15:25"/>
        <d v="2025-08-20T21:17:33"/>
        <d v="2025-08-20T22:03:51"/>
        <d v="2025-08-21T00:06:57"/>
        <d v="2025-08-21T01:51:52"/>
        <d v="2025-08-21T03:07:53"/>
        <d v="2025-08-21T07:56:33"/>
        <d v="2025-08-21T10:02:38"/>
        <d v="2025-08-21T12:39:16"/>
        <d v="2025-08-21T16:30:55"/>
        <d v="2025-08-21T19:22:37"/>
        <d v="2025-08-21T19:23:32"/>
        <d v="2025-08-22T01:33:48"/>
        <d v="2025-08-22T01:34:51"/>
        <d v="2025-08-22T02:34:42"/>
        <d v="2025-08-22T04:33:24"/>
        <d v="2025-08-22T05:57:00"/>
        <d v="2025-08-22T07:15:29"/>
        <d v="2025-08-22T07:26:25"/>
        <d v="2025-08-22T08:03:02"/>
        <d v="2025-08-22T08:11:42"/>
        <d v="2025-08-22T10:00:19"/>
        <d v="2025-08-22T11:12:40"/>
        <d v="2025-08-22T12:38:06"/>
        <d v="2025-08-22T12:40:33"/>
        <d v="2025-08-22T12:59:32"/>
        <d v="2025-08-22T14:42:47"/>
        <d v="2025-08-22T22:18:14"/>
        <d v="2025-08-23T00:04:15"/>
        <d v="2025-08-23T03:39:21"/>
        <d v="2025-08-23T03:40:59"/>
        <d v="2025-08-23T04:28:33"/>
        <d v="2025-08-23T04:52:09"/>
        <d v="2025-08-23T05:06:33"/>
        <d v="2025-08-23T08:01:48"/>
        <d v="2025-08-23T08:14:37"/>
        <d v="2025-08-23T10:00:43"/>
        <d v="2025-08-24T03:52:34"/>
        <d v="2025-08-24T04:19:11"/>
        <d v="2025-08-24T06:26:46"/>
        <d v="2025-08-24T07:45:40"/>
        <d v="2025-08-24T07:49:13"/>
        <d v="2025-08-24T09:19:37"/>
        <d v="2025-08-24T10:00:44"/>
        <d v="2025-08-24T10:01:34"/>
        <d v="2025-08-24T15:00:03"/>
        <d v="2025-08-24T19:59:35"/>
        <d v="2025-08-25T07:50:38"/>
        <d v="2025-08-25T08:18:46"/>
        <d v="2025-08-25T09:02:24"/>
        <d v="2025-08-25T09:38:27"/>
        <d v="2025-08-25T15:37:46"/>
        <d v="2025-08-25T16:25:10"/>
        <d v="2025-08-26T17:09:49"/>
        <d v="2025-08-26T17:10:30"/>
        <d v="2025-08-26T22:49:35"/>
        <d v="2025-08-27T16:22:37"/>
        <d v="2025-08-27T16:50:02"/>
        <d v="2025-08-27T18:17:25"/>
        <d v="2025-08-28T00:12:17"/>
        <d v="2025-08-28T17:28:45"/>
        <d v="2025-08-28T17:46:13"/>
        <d v="2025-08-28T18:00:30"/>
        <d v="2025-08-28T19:02:05"/>
        <d v="2025-08-28T19:08:04"/>
        <d v="2025-08-28T20:17:04"/>
        <d v="2025-08-28T23:32:47"/>
        <d v="2025-08-29T00:07:40"/>
        <d v="2025-08-29T12:33:24"/>
        <d v="2025-08-29T18:56:44"/>
        <d v="2025-08-30T05:26:35"/>
        <d v="2025-08-30T06:44:54"/>
        <d v="2025-08-30T08:17:34"/>
        <d v="2025-08-30T10:07:14"/>
        <d v="2025-08-30T11:00:20"/>
        <d v="2025-08-30T15:27:54"/>
        <d v="2025-08-30T18:50:59"/>
        <d v="2025-08-31T02:00:19"/>
        <d v="2025-08-31T07:02:02"/>
        <d v="2025-08-31T07:56:33"/>
        <d v="2025-08-31T12:42:02"/>
        <d v="2025-08-31T13:17:44"/>
        <d v="2025-08-31T14:10:27"/>
        <d v="2025-08-31T15:40:35"/>
        <d v="2025-08-31T15:59:43"/>
        <d v="2025-08-31T16:00:08"/>
        <d v="2025-08-31T16:07:28"/>
        <d v="2025-08-31T19:26:46"/>
        <d v="2025-08-31T20:54:18"/>
        <d v="2025-08-31T21:28:51"/>
        <d v="2025-09-01T15:17:18"/>
        <d v="2025-09-01T15:37:07"/>
        <d v="2025-09-02T01:25:51"/>
        <d v="2025-09-02T01:27:34"/>
        <d v="2025-09-02T03:16:17"/>
        <d v="2025-09-02T03:17:54"/>
        <d v="2025-09-02T03:19:18"/>
        <d v="2025-09-02T05:01:57"/>
        <d v="2025-09-02T08:57:06"/>
        <d v="2025-09-02T09:00:38"/>
        <d v="2025-09-02T09:02:49"/>
        <d v="2025-09-02T09:13:52"/>
        <d v="2025-09-02T09:44:11"/>
        <d v="2025-09-02T09:52:23"/>
        <d v="2025-09-02T09:54:05"/>
        <d v="2025-09-02T10:58:46"/>
        <d v="2025-09-02T13:05:02"/>
        <d v="2025-09-02T15:50:07"/>
        <d v="2025-09-02T16:10:35"/>
        <d v="2025-09-02T17:19:35"/>
        <d v="2025-09-02T17:25:18"/>
        <d v="2025-09-02T18:09:30"/>
        <d v="2025-09-02T21:10:12"/>
        <d v="2025-09-03T00:02:26"/>
        <d v="2025-09-03T02:47:46"/>
        <d v="2025-09-03T02:51:02"/>
        <d v="2025-09-03T03:03:06"/>
        <d v="2025-09-03T03:45:49"/>
        <d v="2025-09-03T04:46:41"/>
        <d v="2025-09-03T04:49:55"/>
        <d v="2025-09-03T05:01:58"/>
        <d v="2025-09-03T05:23:19"/>
        <d v="2025-09-03T06:18:11"/>
        <d v="2025-09-03T18:17:25"/>
        <d v="2025-09-03T18:56:04"/>
        <d v="2025-09-03T19:38:46"/>
        <d v="2025-09-03T23:20:58"/>
        <d v="2025-09-03T23:21:14"/>
        <d v="2025-09-03T23:21:38"/>
        <d v="2025-09-03T23:37:48"/>
        <d v="2025-09-03T23:42:04"/>
        <d v="2025-09-04T00:09:00"/>
        <d v="2025-09-04T00:32:00"/>
        <d v="2025-09-04T01:09:03"/>
        <d v="2025-09-04T01:09:36"/>
        <d v="2025-09-04T02:31:40"/>
        <d v="2025-09-04T03:21:17"/>
        <d v="2025-09-04T03:22:43"/>
        <d v="2025-09-04T04:05:17"/>
        <d v="2025-09-04T04:49:35"/>
        <d v="2025-09-04T04:51:50"/>
        <d v="2025-09-04T05:35:34"/>
        <d v="2025-09-04T05:36:40"/>
        <d v="2025-09-04T05:36:52"/>
        <d v="2025-09-04T06:27:40"/>
        <d v="2025-09-04T15:08:17"/>
        <d v="2025-09-04T15:57:03"/>
        <d v="2025-09-04T16:12:51"/>
        <d v="2025-09-04T16:25:29"/>
        <d v="2025-09-04T16:57:37"/>
        <d v="2025-09-04T17:00:36"/>
        <d v="2025-09-04T17:00:50"/>
        <d v="2025-09-04T17:05:29"/>
        <d v="2025-09-04T17:05:49"/>
        <d v="2025-09-04T17:13:04"/>
        <d v="2025-09-04T17:32:09"/>
        <d v="2025-09-04T17:52:57"/>
        <d v="2025-09-04T18:01:14"/>
        <d v="2025-09-04T18:06:04"/>
        <d v="2025-09-04T18:40:00"/>
        <d v="2025-09-04T18:41:28"/>
        <d v="2025-09-04T19:04:39"/>
        <d v="2025-09-04T19:09:53"/>
        <d v="2025-09-04T19:26:11"/>
        <d v="2025-09-04T20:02:08"/>
        <d v="2025-09-04T20:39:46"/>
        <d v="2025-09-04T21:27:59"/>
        <d v="2025-09-04T21:48:38"/>
        <d v="2025-09-04T22:22:00"/>
        <d v="2025-09-04T22:44:32"/>
        <d v="2025-09-04T23:35:09"/>
        <d v="2025-09-04T23:38:45"/>
        <d v="2025-09-05T00:53:20"/>
        <d v="2025-09-05T01:19:33"/>
        <d v="2025-09-05T01:20:51"/>
        <d v="2025-09-05T01:48:38"/>
        <d v="2025-09-05T14:45:17"/>
        <d v="2025-09-05T14:45:26"/>
        <d v="2025-09-05T15:56:02"/>
        <d v="2025-09-05T16:07:02"/>
        <d v="2025-09-05T17:18:30"/>
        <d v="2025-09-05T20:53:05"/>
        <d v="2025-09-06T05:15:22"/>
        <d v="2025-09-07T01:43:12"/>
        <d v="2025-09-07T07:08:49"/>
        <d v="2025-09-08T04:09:08"/>
        <d v="2025-09-08T16:33:26"/>
        <d v="2025-09-08T20:01:17"/>
        <d v="2025-09-08T20:32:42"/>
        <d v="2025-09-08T22:46:08"/>
        <d v="2025-09-08T22:52:05"/>
        <d v="2025-09-08T22:58:46"/>
        <d v="2025-09-08T23:06:18"/>
        <d v="2025-09-08T23:13:29"/>
        <d v="2025-09-09T00:02:36"/>
        <d v="2025-09-09T04:57:57"/>
        <d v="2025-09-09T05:29:56"/>
        <d v="2025-09-09T08:39:28"/>
        <d v="2025-09-09T08:43:01"/>
        <d v="2025-09-09T09:25:29"/>
        <d v="2025-09-09T11:05:08"/>
        <d v="2025-09-09T15:24:58"/>
        <d v="2025-09-09T21:03:39"/>
        <d v="2025-09-09T21:43:09"/>
        <d v="2025-09-09T22:01:17"/>
        <d v="2025-09-09T23:11:56"/>
        <d v="2025-09-09T23:23:03"/>
        <d v="2025-09-10T00:48:49"/>
        <d v="2025-09-10T01:19:53"/>
        <d v="2025-09-10T02:52:27"/>
        <d v="2025-09-10T03:13:59"/>
        <d v="2025-09-10T04:25:22"/>
        <d v="2025-09-10T05:35:31"/>
        <d v="2025-09-10T05:39:52"/>
        <d v="2025-09-10T06:10:27"/>
        <d v="2025-09-10T08:04:03"/>
        <d v="2025-09-10T15:28:15"/>
        <d v="2025-09-10T17:26:58"/>
        <d v="2025-09-10T18:17:14"/>
        <d v="2025-09-10T21:31:02"/>
        <d v="2025-09-11T07:12:48"/>
        <d v="2025-09-11T10:16:45"/>
        <d v="2025-09-11T15:38:49"/>
        <d v="2025-09-11T17:54:45"/>
        <d v="2025-09-11T18:09:40"/>
        <d v="2025-09-11T20:28:12"/>
        <d v="2025-09-12T03:54:01"/>
        <d v="2025-09-12T06:23:06"/>
        <d v="2025-09-12T08:59:26"/>
        <d v="2025-09-12T14:51:48"/>
        <d v="2025-09-12T22:37:02"/>
        <d v="2025-09-12T22:42:56"/>
        <d v="2025-09-13T00:07:10"/>
        <d v="2025-09-13T16:19:30"/>
        <d v="2025-09-13T19:14:38"/>
        <d v="2025-09-14T06:02:55"/>
        <d v="2025-09-14T07:11:39"/>
        <d v="2025-09-14T08:26:02"/>
        <d v="2025-09-14T08:27:24"/>
        <d v="2025-09-14T09:07:25"/>
        <d v="2025-09-14T09:49:46"/>
        <d v="2025-09-14T09:55:01"/>
        <d v="2025-09-14T10:02:49"/>
        <d v="2025-09-15T03:57:19"/>
        <d v="2025-09-15T07:09:30"/>
        <d v="2025-09-15T11:02:11"/>
        <d v="2025-09-15T16:18:12"/>
        <d v="2025-09-15T17:56:39"/>
        <d v="2025-09-15T17:56:58"/>
        <d v="2025-09-15T18:16:34"/>
        <d v="2025-09-15T20:54:38"/>
        <d v="2025-09-16T02:36:08"/>
        <d v="2025-09-16T02:37:21"/>
        <d v="2025-09-16T02:54:04"/>
        <d v="2025-09-16T03:20:07"/>
        <d v="2025-09-16T04:28:50"/>
        <d v="2025-09-16T04:30:30"/>
        <d v="2025-09-16T04:30:58"/>
        <d v="2025-09-16T05:16:43"/>
        <d v="2025-09-16T05:20:58"/>
        <d v="2025-09-16T06:10:16"/>
        <d v="2025-09-16T07:14:28"/>
        <d v="2025-09-16T21:13:42"/>
        <d v="2025-09-17T01:02:32"/>
        <d v="2025-09-17T01:02:59"/>
        <d v="2025-09-17T02:04:06"/>
        <d v="2025-09-17T06:26:27"/>
        <d v="2025-09-17T07:03:45"/>
        <d v="2025-09-17T08:14:12"/>
        <d v="2025-09-17T10:36:41"/>
        <d v="2025-09-17T22:39:33"/>
        <d v="2025-09-18T00:23:22"/>
        <d v="2025-09-18T00:30:32"/>
        <d v="2025-09-18T01:41:21"/>
        <d v="2025-09-18T06:59:10"/>
        <d v="2025-09-18T07:07:55"/>
        <d v="2025-09-18T07:09:31"/>
        <d v="2025-09-18T08:05:49"/>
        <d v="2025-09-18T08:14:13"/>
        <d v="2025-09-18T09:29:18"/>
        <d v="2025-09-18T10:16:36"/>
        <d v="2025-09-18T10:47:24"/>
        <d v="2025-09-18T13:20:27"/>
        <d v="2025-09-18T14:25:38"/>
        <d v="2025-09-18T15:23:30"/>
        <d v="2025-09-18T16:02:10"/>
        <d v="2025-09-18T16:05:11"/>
        <d v="2025-09-18T16:14:40"/>
        <d v="2025-09-18T17:24:34"/>
        <d v="2025-09-18T18:33:16"/>
        <d v="2025-09-18T18:54:58"/>
        <d v="2025-09-18T19:26:30"/>
        <d v="2025-09-18T23:36:58"/>
        <d v="2025-09-19T00:00:55"/>
        <d v="2025-09-19T04:12:15"/>
        <d v="2025-09-19T06:46:42"/>
        <d v="2025-09-19T06:48:34"/>
        <d v="2025-09-19T07:00:06"/>
        <d v="2025-09-19T07:19:05"/>
        <d v="2025-09-19T15:48:13"/>
        <d v="2025-09-19T16:57:21"/>
        <d v="2025-09-19T17:02:14"/>
        <d v="2025-09-19T17:08:29"/>
        <d v="2025-09-19T20:33:08"/>
        <d v="2025-09-19T21:07:48"/>
        <d v="2025-09-19T21:32:15"/>
        <d v="2025-09-19T22:09:41"/>
        <d v="2025-09-20T02:30:26"/>
        <d v="2025-09-20T06:58:50"/>
        <d v="2025-09-20T07:53:47"/>
        <d v="2025-09-20T08:03:18"/>
        <d v="2025-09-20T09:09:06"/>
        <d v="2025-09-20T11:29:42"/>
        <d v="2025-09-20T18:35:11"/>
        <d v="2025-09-20T18:35:49"/>
        <d v="2025-09-20T20:42:30"/>
        <d v="2025-09-20T21:56:40"/>
        <d v="2025-09-21T18:58:21"/>
        <d v="2025-09-22T13:31:26"/>
        <d v="2025-09-22T13:31:30"/>
        <d v="2025-09-22T15:44:49"/>
        <d v="2025-09-22T16:09:57"/>
        <d v="2025-09-22T17:09:16"/>
        <d v="2025-09-22T17:32:35"/>
        <d v="2025-09-22T18:06:44"/>
        <d v="2025-09-22T18:12:04"/>
        <d v="2025-09-22T19:15:54"/>
        <d v="2025-09-22T19:16:32"/>
        <d v="2025-09-22T20:18:00"/>
        <d v="2025-09-22T20:19:49"/>
        <d v="2025-09-22T21:29:18"/>
        <d v="2025-09-22T22:17:11"/>
        <d v="2025-09-22T22:30:08"/>
        <d v="2025-09-22T22:38:16"/>
        <d v="2025-09-22T22:57:16"/>
        <d v="2025-09-22T23:00:32"/>
        <d v="2025-09-22T23:23:00"/>
        <d v="2025-09-23T03:05:57"/>
        <d v="2025-09-23T04:06:48"/>
        <d v="2025-09-23T08:52:51"/>
        <d v="2025-09-23T09:23:55"/>
        <d v="2025-09-23T14:43:49"/>
        <d v="2025-09-23T14:45:36"/>
        <d v="2025-09-23T15:08:08"/>
        <d v="2025-09-23T17:09:55"/>
        <d v="2025-09-23T18:13:24"/>
        <d v="2025-09-23T21:01:33"/>
        <d v="2025-09-23T21:02:10"/>
        <d v="2025-09-24T04:47:59"/>
        <d v="2025-09-24T04:48:52"/>
        <d v="2025-09-24T05:00:32"/>
        <d v="2025-09-24T15:32:50"/>
        <d v="2025-09-24T15:43:34"/>
        <d v="2025-09-24T17:40:57"/>
        <d v="2025-09-24T19:07:16"/>
        <d v="2025-09-24T22:36:56"/>
        <d v="2025-09-24T23:05:07"/>
        <d v="2025-09-24T23:09:09"/>
        <d v="2025-09-24T23:28:16"/>
        <d v="2025-09-24T23:40:43"/>
        <d v="2025-09-25T00:06:10"/>
        <d v="2025-09-25T00:20:39"/>
        <d v="2025-09-25T00:33:17"/>
        <d v="2025-09-25T01:09:31"/>
        <d v="2025-09-25T03:51:52"/>
        <d v="2025-09-25T04:46:02"/>
        <d v="2025-09-25T07:07:13"/>
        <d v="2025-09-25T20:39:30"/>
        <d v="2025-09-25T21:00:39"/>
        <d v="2025-09-25T21:26:44"/>
        <d v="2025-09-25T23:28:46"/>
        <d v="2025-09-26T00:07:15"/>
        <d v="2025-09-26T00:08:56"/>
        <d v="2025-09-26T03:53:15"/>
        <d v="2025-09-26T04:27:22"/>
        <d v="2025-09-26T07:25:26"/>
        <d v="2025-09-26T08:50:37"/>
        <d v="2025-09-26T09:21:06"/>
        <d v="2025-09-26T09:24:50"/>
        <d v="2025-09-26T09:26:13"/>
        <d v="2025-09-26T10:59:58"/>
        <d v="2025-09-26T15:11:35"/>
        <d v="2025-09-26T15:42:58"/>
        <d v="2025-09-26T16:46:17"/>
        <d v="2025-09-26T17:01:14"/>
        <d v="2025-09-26T18:42:08"/>
        <d v="2025-09-26T18:53:18"/>
        <d v="2025-09-26T22:51:45"/>
        <d v="2025-09-26T23:00:58"/>
        <d v="2025-09-26T23:27:54"/>
        <d v="2025-09-26T23:41:24"/>
        <d v="2025-09-27T00:15:57"/>
        <d v="2025-09-27T01:24:00"/>
        <d v="2025-09-27T03:47:16"/>
        <d v="2025-09-27T05:30:06"/>
        <d v="2025-09-27T05:30:19"/>
        <d v="2025-09-27T06:50:50"/>
        <d v="2025-09-27T08:46:15"/>
        <d v="2025-09-27T20:03:37"/>
        <d v="2025-09-27T21:37:13"/>
        <d v="2025-09-27T21:38:17"/>
        <d v="2025-09-27T21:40:01"/>
        <d v="2025-09-27T21:40:34"/>
        <d v="2025-09-27T23:53:36"/>
        <d v="2025-09-28T01:07:18"/>
        <d v="2025-09-28T01:55:44"/>
        <d v="2025-09-28T07:01:38"/>
        <d v="2025-09-28T07:13:53"/>
        <d v="2025-09-28T07:49:51"/>
        <d v="2025-09-28T11:19:50"/>
        <d v="2025-09-28T17:10:00"/>
        <d v="2025-09-28T17:11:51"/>
        <d v="2025-09-28T17:47:10"/>
        <d v="2025-09-28T20:37:26"/>
        <d v="2025-09-28T21:04:09"/>
        <d v="2025-09-28T21:18:11"/>
        <d v="2025-09-28T22:35:02"/>
        <d v="2025-09-29T15:08:39"/>
        <d v="2025-09-29T16:03:19"/>
        <d v="2025-09-29T18:18:22"/>
        <d v="2025-09-29T19:55:14"/>
        <d v="2025-09-29T22:35:31"/>
        <d v="2025-09-30T00:00:16"/>
        <d v="2025-09-30T00:07:55"/>
        <d v="2025-09-30T00:08:50"/>
        <d v="2025-09-30T00:15:54"/>
        <d v="2025-09-30T01:18:35"/>
        <d v="2025-09-30T04:03:52"/>
        <d v="2025-09-30T21:40:09"/>
        <d v="2025-10-01T02:20:26"/>
        <d v="2025-10-01T07:28:00"/>
        <d v="2025-10-01T10:34:05"/>
        <d v="2025-10-01T10:38:10"/>
        <d v="2025-10-01T19:22:52"/>
        <d v="2025-10-01T23:41:08"/>
        <d v="2025-10-02T09:25:46"/>
        <d v="2025-10-03T08:00:12"/>
        <d v="2025-10-03T15:57:34"/>
        <d v="2025-10-03T16:00:31"/>
        <d v="2025-10-03T18:32:54"/>
        <d v="2025-10-04T00:21:35"/>
        <d v="2025-10-04T06:28:20"/>
        <d v="2025-10-04T06:29:42"/>
        <d v="2025-10-04T06:30:31"/>
        <d v="2025-10-04T06:41:15"/>
        <d v="2025-10-04T09:33:22"/>
        <d v="2025-10-04T21:36:54"/>
        <d v="2025-10-05T06:16:30"/>
        <d v="2025-10-05T22:58:46"/>
        <d v="2025-10-06T03:02:50"/>
        <d v="2025-10-06T06:22:29"/>
        <d v="2025-10-07T02:02:12"/>
        <d v="2025-10-07T02:03:07"/>
        <d v="2025-10-07T17:09:45"/>
        <d v="2025-10-07T20:18:53"/>
        <d v="2025-10-07T21:50:47"/>
        <d v="2025-10-07T22:02:46"/>
        <d v="2025-10-07T22:13:34"/>
        <d v="2025-10-07T22:13:57"/>
        <d v="2025-10-08T02:04:39"/>
        <d v="2025-10-08T02:04:50"/>
        <d v="2025-10-08T05:06:09"/>
        <d v="2025-10-08T17:19:15"/>
        <d v="2025-10-08T20:32:22"/>
        <d v="2025-10-08T22:12:30"/>
        <d v="2025-10-09T20:35:45"/>
        <d v="2025-10-09T21:46:23"/>
        <d v="2025-10-09T22:13:42"/>
        <d v="2025-10-10T18:42:03"/>
        <d v="2025-10-10T20:49:20"/>
        <d v="2025-10-10T21:38:21"/>
        <d v="2025-10-11T00:10:56"/>
        <d v="2025-10-11T11:18:25"/>
        <d v="2025-10-11T13:20:06"/>
        <d v="2025-06-18T00:02:05" u="1"/>
        <d v="2025-06-18T00:09:13" u="1"/>
        <d v="2025-06-18T00:10:51" u="1"/>
        <d v="2025-06-18T00:16:14" u="1"/>
        <d v="2025-06-18T00:20:59" u="1"/>
        <d v="2025-06-18T00:36:54" u="1"/>
        <d v="2025-06-18T02:09:55" u="1"/>
        <d v="2025-06-18T03:44:20" u="1"/>
        <d v="2025-06-18T04:44:26" u="1"/>
        <d v="2025-06-18T04:57:41" u="1"/>
        <d v="2025-06-18T05:03:09" u="1"/>
        <d v="2025-06-18T05:19:09" u="1"/>
        <d v="2025-06-18T05:27:37" u="1"/>
        <d v="2025-06-18T05:31:09" u="1"/>
        <d v="2025-06-18T06:06:51" u="1"/>
        <d v="2025-06-18T06:50:32" u="1"/>
        <d v="2025-06-18T08:13:12" u="1"/>
        <d v="2025-06-18T08:49:05" u="1"/>
        <d v="2025-06-18T08:49:19" u="1"/>
        <d v="2025-06-18T08:50:23" u="1"/>
        <d v="2025-06-18T08:51:26" u="1"/>
        <d v="2025-06-18T08:52:23" u="1"/>
        <d v="2025-06-18T08:52:58" u="1"/>
        <d v="2025-06-18T08:56:31" u="1"/>
        <d v="2025-06-18T08:57:04" u="1"/>
        <d v="2025-06-18T08:59:45" u="1"/>
        <d v="2025-06-18T09:00:15" u="1"/>
        <d v="2025-06-18T09:01:50" u="1"/>
        <d v="2025-06-18T09:07:18" u="1"/>
        <d v="2025-06-18T09:11:52" u="1"/>
        <d v="2025-06-18T09:36:11" u="1"/>
        <d v="2025-06-18T12:48:02" u="1"/>
        <d v="2025-06-18T14:10:09" u="1"/>
        <d v="2025-06-18T14:13:44" u="1"/>
        <d v="2025-06-18T14:20:10" u="1"/>
        <d v="2025-06-18T14:22:49" u="1"/>
        <d v="2025-06-18T14:31:18" u="1"/>
        <d v="2025-06-18T14:39:46" u="1"/>
        <d v="2025-06-18T14:50:59" u="1"/>
        <d v="2025-06-18T14:51:34" u="1"/>
        <d v="2025-06-18T14:51:55" u="1"/>
        <d v="2025-06-18T14:57:15" u="1"/>
        <d v="2025-06-18T15:00:18" u="1"/>
        <d v="2025-06-18T15:00:51" u="1"/>
        <d v="2025-06-18T15:01:36" u="1"/>
        <d v="2025-06-18T15:03:51" u="1"/>
        <d v="2025-06-18T15:07:48" u="1"/>
        <d v="2025-06-18T15:13:45" u="1"/>
        <d v="2025-06-18T15:19:27" u="1"/>
        <d v="2025-06-18T15:26:07" u="1"/>
        <d v="2025-06-18T15:35:18" u="1"/>
        <d v="2025-06-18T15:41:11" u="1"/>
        <d v="2025-06-18T15:52:17" u="1"/>
        <d v="2025-06-18T16:00:01" u="1"/>
        <d v="2025-06-18T16:19:57" u="1"/>
        <d v="2025-06-18T16:22:44" u="1"/>
        <d v="2025-06-18T16:23:48" u="1"/>
        <d v="2025-06-18T16:28:54" u="1"/>
        <d v="2025-06-18T16:29:51" u="1"/>
        <d v="2025-06-18T16:43:03" u="1"/>
        <d v="2025-06-18T17:03:35" u="1"/>
        <d v="2025-06-18T17:07:30" u="1"/>
        <d v="2025-06-18T17:33:44" u="1"/>
        <d v="2025-06-18T17:34:26" u="1"/>
        <d v="2025-06-18T19:12:15" u="1"/>
        <d v="2025-06-18T19:14:58" u="1"/>
        <d v="2025-06-18T19:17:51" u="1"/>
        <d v="2025-06-18T19:20:22" u="1"/>
        <d v="2025-06-18T19:31:12" u="1"/>
        <d v="2025-06-18T20:08:03" u="1"/>
        <d v="2025-06-18T20:13:38" u="1"/>
        <d v="2025-06-18T20:19:31" u="1"/>
        <d v="2025-06-18T20:23:39" u="1"/>
        <d v="2025-06-18T21:00:19" u="1"/>
        <d v="2025-06-18T21:06:12" u="1"/>
        <d v="2025-06-18T21:06:33" u="1"/>
        <d v="2025-06-18T21:27:16" u="1"/>
        <d v="2025-06-18T22:07:14" u="1"/>
        <d v="2025-06-18T22:46:44" u="1"/>
        <d v="2025-06-18T23:20:24" u="1"/>
        <d v="2025-06-18T23:20:37" u="1"/>
        <d v="2025-06-19T01:27:29" u="1"/>
        <d v="2025-06-19T01:42:51" u="1"/>
        <d v="2025-06-19T02:20:41" u="1"/>
        <d v="2025-06-19T02:28:01" u="1"/>
        <d v="2025-06-19T03:31:29" u="1"/>
        <d v="2025-06-19T03:43:22" u="1"/>
        <d v="2025-06-19T04:59:26" u="1"/>
        <d v="2025-06-19T07:17:09" u="1"/>
        <d v="2025-06-19T07:43:36" u="1"/>
        <d v="2025-06-19T09:08:30" u="1"/>
        <d v="2025-06-19T11:20:30" u="1"/>
        <d v="2025-06-19T13:15:31" u="1"/>
        <d v="2025-06-19T13:15:52" u="1"/>
        <d v="2025-06-19T14:26:21" u="1"/>
        <d v="2025-06-19T14:34:22" u="1"/>
        <d v="2025-06-19T15:03:33" u="1"/>
        <d v="2025-06-19T15:12:51" u="1"/>
        <d v="2025-06-19T15:26:21" u="1"/>
        <d v="2025-06-19T15:43:07" u="1"/>
        <d v="2025-06-19T15:45:19" u="1"/>
        <d v="2025-06-19T17:32:32" u="1"/>
        <d v="2025-06-19T17:36:55" u="1"/>
        <d v="2025-06-19T18:13:06" u="1"/>
        <d v="2025-06-19T19:20:52" u="1"/>
        <d v="2025-06-19T19:27:09" u="1"/>
        <d v="2025-06-19T19:58:42" u="1"/>
        <d v="2025-06-19T20:01:08" u="1"/>
        <d v="2025-06-19T21:38:57" u="1"/>
        <d v="2025-06-19T21:46:54" u="1"/>
        <d v="2025-06-19T21:52:50" u="1"/>
        <d v="2025-06-19T22:24:52" u="1"/>
        <d v="2025-06-19T23:16:29" u="1"/>
        <d v="2025-06-19T23:29:15" u="1"/>
        <d v="2025-06-19T23:32:17" u="1"/>
        <d v="2025-06-19T23:51:36" u="1"/>
        <d v="2025-06-19T23:52:20" u="1"/>
        <d v="2025-06-20T00:02:56" u="1"/>
        <d v="2025-06-20T00:07:17" u="1"/>
        <d v="2025-06-20T01:41:46" u="1"/>
        <d v="2025-06-20T01:45:39" u="1"/>
        <d v="2025-06-20T02:00:10" u="1"/>
        <d v="2025-06-20T02:00:41" u="1"/>
        <d v="2025-06-20T02:02:34" u="1"/>
        <d v="2025-06-20T02:03:11" u="1"/>
        <d v="2025-06-20T03:00:59" u="1"/>
        <d v="2025-06-20T05:01:25" u="1"/>
        <d v="2025-06-20T05:20:43" u="1"/>
        <d v="2025-06-20T18:14:40" u="1"/>
        <d v="2025-06-20T20:53:24" u="1"/>
        <d v="2025-06-20T20:56:01" u="1"/>
        <d v="2025-06-20T20:57:56" u="1"/>
        <d v="2025-06-20T20:59:27" u="1"/>
        <d v="2025-06-20T21:01:01" u="1"/>
        <d v="2025-06-20T21:01:37" u="1"/>
        <d v="2025-06-20T21:08:59" u="1"/>
        <d v="2025-06-20T21:27:30" u="1"/>
        <d v="2025-06-20T21:44:30" u="1"/>
        <d v="2025-06-20T22:09:27" u="1"/>
        <d v="2025-06-20T22:12:14" u="1"/>
        <d v="2025-06-20T22:31:57" u="1"/>
        <d v="2025-06-20T22:39:39" u="1"/>
        <d v="2025-06-20T23:37:17" u="1"/>
        <d v="2025-06-21T00:03:42" u="1"/>
        <d v="2025-06-21T00:04:27" u="1"/>
        <d v="2025-06-21T00:57:08" u="1"/>
        <d v="2025-06-21T01:00:06" u="1"/>
        <d v="2025-06-21T01:57:46" u="1"/>
        <d v="2025-06-21T02:56:55" u="1"/>
        <d v="2025-06-21T03:03:19" u="1"/>
        <d v="2025-06-21T06:43:18" u="1"/>
        <d v="2025-06-21T15:02:58" u="1"/>
        <d v="2025-06-21T16:03:58" u="1"/>
        <d v="2025-06-21T17:18:28" u="1"/>
        <d v="2025-06-21T17:56:02" u="1"/>
        <d v="2025-06-21T18:08:21" u="1"/>
        <d v="2025-06-21T19:01:08" u="1"/>
        <d v="2025-06-21T19:58:14" u="1"/>
        <d v="2025-06-21T20:24:40" u="1"/>
        <d v="2025-06-21T22:31:36" u="1"/>
        <d v="2025-06-21T22:52:42" u="1"/>
        <d v="2025-06-21T23:51:27" u="1"/>
        <d v="2025-06-22T01:03:25" u="1"/>
        <d v="2025-06-22T01:07:14" u="1"/>
        <d v="2025-06-22T01:08:48" u="1"/>
        <d v="2025-06-22T03:48:55" u="1"/>
        <d v="2025-06-22T04:32:37" u="1"/>
        <d v="2025-06-22T04:33:38" u="1"/>
        <d v="2025-06-22T04:40:07" u="1"/>
        <d v="2025-06-22T08:12:02" u="1"/>
        <d v="2025-06-22T11:59:10" u="1"/>
        <d v="2025-06-22T12:00:33" u="1"/>
        <d v="2025-06-22T14:59:31" u="1"/>
        <d v="2025-06-22T15:00:36" u="1"/>
        <d v="2025-06-22T15:04:52" u="1"/>
        <d v="2025-06-22T15:32:40" u="1"/>
        <d v="2025-06-22T15:44:26" u="1"/>
        <d v="2025-06-22T16:29:38" u="1"/>
        <d v="2025-06-22T16:55:15" u="1"/>
        <d v="2025-06-22T17:20:35" u="1"/>
        <d v="2025-06-22T17:42:03" u="1"/>
        <d v="2025-06-22T18:32:03" u="1"/>
        <d v="2025-06-22T18:49:10" u="1"/>
        <d v="2025-06-23T01:05:36" u="1"/>
        <d v="2025-06-23T02:01:59" u="1"/>
        <d v="2025-06-23T05:16:14" u="1"/>
        <d v="2025-06-23T05:23:34" u="1"/>
        <d v="2025-06-23T05:32:21" u="1"/>
        <d v="2025-06-23T11:22:34" u="1"/>
        <d v="2025-06-23T14:19:58" u="1"/>
        <d v="2025-06-23T15:22:22" u="1"/>
        <d v="2025-06-23T15:50:06" u="1"/>
        <d v="2025-06-23T16:00:09" u="1"/>
        <d v="2025-06-23T16:03:59" u="1"/>
        <d v="2025-06-23T16:17:54" u="1"/>
        <d v="2025-06-23T16:22:41" u="1"/>
        <d v="2025-06-23T16:38:31" u="1"/>
        <d v="2025-06-23T17:00:40" u="1"/>
        <d v="2025-06-23T18:42:42" u="1"/>
        <d v="2025-06-23T18:44:17" u="1"/>
        <d v="2025-06-23T19:40:11" u="1"/>
        <d v="2025-06-23T20:06:19" u="1"/>
        <d v="2025-06-23T20:15:24" u="1"/>
        <d v="2025-06-23T20:29:41" u="1"/>
        <d v="2025-06-23T21:14:35" u="1"/>
        <d v="2025-06-23T22:05:39" u="1"/>
        <d v="2025-06-23T22:08:15" u="1"/>
        <d v="2025-06-23T23:55:21" u="1"/>
        <d v="2025-06-24T00:21:28" u="1"/>
        <d v="2025-06-24T00:48:37" u="1"/>
        <d v="2025-06-24T01:19:15" u="1"/>
        <d v="2025-06-24T06:40:20" u="1"/>
        <d v="2025-06-24T10:55:01" u="1"/>
        <d v="2025-06-24T14:26:26" u="1"/>
        <d v="2025-06-24T15:29:05" u="1"/>
        <d v="2025-06-24T15:33:28" u="1"/>
        <d v="2025-06-24T15:47:41" u="1"/>
        <d v="2025-06-24T16:00:12" u="1"/>
        <d v="2025-06-24T16:50:27" u="1"/>
        <d v="2025-06-24T17:39:15" u="1"/>
        <d v="2025-06-24T17:43:37" u="1"/>
        <d v="2025-06-24T18:01:31" u="1"/>
        <d v="2025-06-24T19:02:45" u="1"/>
        <d v="2025-06-24T19:25:51" u="1"/>
        <d v="2025-06-24T19:30:35" u="1"/>
        <d v="2025-06-24T19:58:16" u="1"/>
        <d v="2025-06-24T20:00:18" u="1"/>
        <d v="2025-06-24T20:16:24" u="1"/>
        <d v="2025-06-24T20:17:52" u="1"/>
        <d v="2025-06-24T20:51:28" u="1"/>
        <d v="2025-06-24T20:52:11" u="1"/>
        <d v="2025-06-24T21:16:10" u="1"/>
        <d v="2025-06-24T21:18:25" u="1"/>
        <d v="2025-06-24T22:18:36" u="1"/>
        <d v="2025-06-24T22:37:27" u="1"/>
        <d v="2025-06-24T23:45:35" u="1"/>
        <d v="2025-06-24T23:58:30" u="1"/>
        <d v="2025-06-25T00:05:09" u="1"/>
        <d v="2025-06-25T00:24:44" u="1"/>
        <d v="2025-06-25T00:28:11" u="1"/>
        <d v="2025-06-25T00:28:32" u="1"/>
        <d v="2025-06-25T02:28:46" u="1"/>
        <d v="2025-06-25T06:19:54" u="1"/>
        <d v="2025-06-25T07:05:18" u="1"/>
        <d v="2025-06-25T09:36:24" u="1"/>
        <d v="2025-06-25T10:53:09" u="1"/>
        <d v="2025-06-25T12:37:28" u="1"/>
        <d v="2025-06-25T12:47:41" u="1"/>
        <d v="2025-06-25T12:54:31" u="1"/>
        <d v="2025-06-25T13:42:03" u="1"/>
        <d v="2025-06-25T14:02:22" u="1"/>
        <d v="2025-06-25T14:21:24" u="1"/>
        <d v="2025-06-25T14:26:55" u="1"/>
        <d v="2025-06-25T14:28:16" u="1"/>
        <d v="2025-06-25T14:34:36" u="1"/>
        <d v="2025-06-25T14:39:44" u="1"/>
        <d v="2025-06-25T15:01:53" u="1"/>
        <d v="2025-06-25T15:17:18" u="1"/>
        <d v="2025-06-25T15:19:40" u="1"/>
        <d v="2025-06-25T15:33:04" u="1"/>
        <d v="2025-06-25T16:01:29" u="1"/>
        <d v="2025-06-25T16:36:25" u="1"/>
        <d v="2025-06-25T16:37:50" u="1"/>
        <d v="2025-06-25T16:50:14" u="1"/>
        <d v="2025-06-25T16:56:22" u="1"/>
        <d v="2025-06-25T17:01:15" u="1"/>
        <d v="2025-06-25T17:08:03" u="1"/>
        <d v="2025-06-25T17:09:16" u="1"/>
        <d v="2025-06-25T17:19:54" u="1"/>
        <d v="2025-06-25T18:16:59" u="1"/>
        <d v="2025-06-25T18:29:59" u="1"/>
        <d v="2025-06-25T18:32:43" u="1"/>
        <d v="2025-06-25T18:36:06" u="1"/>
        <d v="2025-06-25T18:38:14" u="1"/>
        <d v="2025-06-25T18:45:24" u="1"/>
        <d v="2025-06-25T18:51:17" u="1"/>
        <d v="2025-06-25T19:00:05" u="1"/>
        <d v="2025-06-25T19:06:27" u="1"/>
        <d v="2025-06-25T19:16:02" u="1"/>
        <d v="2025-06-25T19:17:16" u="1"/>
        <d v="2025-06-25T19:17:34" u="1"/>
        <d v="2025-06-25T19:19:43" u="1"/>
        <d v="2025-06-25T19:20:22" u="1"/>
        <d v="2025-06-25T19:20:45" u="1"/>
        <d v="2025-06-25T19:28:23" u="1"/>
        <d v="2025-06-25T19:30:51" u="1"/>
        <d v="2025-06-25T19:55:53" u="1"/>
        <d v="2025-06-25T20:10:55" u="1"/>
        <d v="2025-06-25T20:12:35" u="1"/>
        <d v="2025-06-25T20:12:50" u="1"/>
        <d v="2025-06-25T20:19:34" u="1"/>
        <d v="2025-06-25T20:20:26" u="1"/>
        <d v="2025-06-25T20:23:40" u="1"/>
        <d v="2025-06-25T20:25:08" u="1"/>
        <d v="2025-06-25T20:28:03" u="1"/>
        <d v="2025-06-25T20:32:33" u="1"/>
        <d v="2025-06-25T20:47:26" u="1"/>
        <d v="2025-06-25T20:56:50" u="1"/>
        <d v="2025-06-25T20:57:51" u="1"/>
        <d v="2025-06-25T20:58:39" u="1"/>
        <d v="2025-06-25T21:00:09" u="1"/>
        <d v="2025-06-25T21:00:23" u="1"/>
        <d v="2025-06-25T21:03:05" u="1"/>
        <d v="2025-06-25T21:09:18" u="1"/>
        <d v="2025-06-25T21:17:11" u="1"/>
        <d v="2025-06-25T21:18:47" u="1"/>
        <d v="2025-06-25T21:28:37" u="1"/>
        <d v="2025-06-25T21:52:04" u="1"/>
        <d v="2025-06-25T21:57:19" u="1"/>
        <d v="2025-06-25T22:09:20" u="1"/>
        <d v="2025-06-25T22:45:10" u="1"/>
        <d v="2025-06-25T22:59:23" u="1"/>
        <d v="2025-06-25T23:39:08" u="1"/>
        <d v="2025-06-25T23:39:49" u="1"/>
        <d v="2025-06-25T23:48:22" u="1"/>
        <d v="2025-06-25T23:54:08" u="1"/>
        <d v="2025-06-25T23:55:13" u="1"/>
        <d v="2025-06-26T00:10:27" u="1"/>
        <d v="2025-06-26T00:11:17" u="1"/>
        <d v="2025-06-26T00:13:08" u="1"/>
        <d v="2025-06-26T00:13:25" u="1"/>
        <d v="2025-06-26T00:16:02" u="1"/>
        <d v="2025-06-26T01:05:00" u="1"/>
        <d v="2025-06-26T01:52:03" u="1"/>
        <d v="2025-06-26T04:18:40" u="1"/>
        <d v="2025-06-26T04:23:35" u="1"/>
        <d v="2025-06-26T06:46:17" u="1"/>
        <d v="2025-06-26T13:42:49" u="1"/>
        <d v="2025-06-26T13:55:34" u="1"/>
        <d v="2025-06-26T13:56:35" u="1"/>
        <d v="2025-06-26T13:57:34" u="1"/>
        <d v="2025-06-26T13:59:00" u="1"/>
        <d v="2025-06-26T14:28:17" u="1"/>
        <d v="2025-06-26T14:56:29" u="1"/>
        <d v="2025-06-26T15:12:02" u="1"/>
        <d v="2025-06-26T16:06:45" u="1"/>
        <d v="2025-06-26T16:08:21" u="1"/>
        <d v="2025-06-26T18:45:04" u="1"/>
        <d v="2025-06-26T18:55:28" u="1"/>
        <d v="2025-06-26T19:03:27" u="1"/>
        <d v="2025-06-26T19:42:04" u="1"/>
        <d v="2025-06-26T19:47:48" u="1"/>
        <d v="2025-06-26T19:48:23" u="1"/>
        <d v="2025-06-26T19:59:47" u="1"/>
        <d v="2025-06-26T20:00:28" u="1"/>
        <d v="2025-06-26T20:02:00" u="1"/>
        <d v="2025-06-26T20:23:58" u="1"/>
        <d v="2025-06-26T20:55:11" u="1"/>
        <d v="2025-06-26T20:58:29" u="1"/>
        <d v="2025-06-26T20:59:06" u="1"/>
        <d v="2025-06-26T21:03:16" u="1"/>
        <d v="2025-06-26T21:09:03" u="1"/>
        <d v="2025-06-26T22:26:51" u="1"/>
        <d v="2025-06-26T23:15:39" u="1"/>
        <d v="2025-06-26T23:39:20" u="1"/>
        <d v="2025-06-26T23:56:58" u="1"/>
        <d v="2025-06-26T23:57:17" u="1"/>
        <d v="2025-06-27T00:14:35" u="1"/>
        <d v="2025-06-27T00:35:40" u="1"/>
        <d v="2025-06-27T00:52:25" u="1"/>
        <d v="2025-06-27T01:13:59" u="1"/>
        <d v="2025-06-27T02:14:49" u="1"/>
        <d v="2025-06-27T02:41:52" u="1"/>
        <d v="2025-06-27T02:43:11" u="1"/>
        <d v="2025-06-27T03:01:14" u="1"/>
        <d v="2025-06-27T04:27:12" u="1"/>
        <d v="2025-06-27T08:41:33" u="1"/>
        <d v="2025-06-27T13:19:57" u="1"/>
        <d v="2025-06-27T14:55:30" u="1"/>
        <d v="2025-06-27T17:18:03" u="1"/>
        <d v="2025-06-27T18:56:13" u="1"/>
        <d v="2025-06-27T19:17:30" u="1"/>
        <d v="2025-06-27T20:42:07" u="1"/>
        <d v="2025-06-27T21:25:11" u="1"/>
        <d v="2025-06-27T21:26:28" u="1"/>
        <d v="2025-06-27T22:32:22" u="1"/>
        <d v="2025-06-27T22:49:14" u="1"/>
        <d v="2025-06-27T22:57:11" u="1"/>
        <d v="2025-06-27T23:02:59" u="1"/>
        <d v="2025-06-28T00:27:26" u="1"/>
        <d v="2025-06-28T00:39:02" u="1"/>
        <d v="2025-06-28T00:47:11" u="1"/>
        <d v="2025-06-28T02:52:00" u="1"/>
        <d v="2025-06-28T03:22:48" u="1"/>
        <d v="2025-06-28T03:58:19" u="1"/>
        <d v="2025-06-28T04:04:38" u="1"/>
        <d v="2025-06-28T04:32:24" u="1"/>
        <d v="2025-06-28T07:56:00" u="1"/>
        <d v="2025-06-28T08:26:57" u="1"/>
        <d v="2025-06-28T08:27:09" u="1"/>
        <d v="2025-06-28T11:55:15" u="1"/>
        <d v="2025-06-28T12:16:14" u="1"/>
        <d v="2025-06-28T13:21:00" u="1"/>
        <d v="2025-06-28T22:26:34" u="1"/>
        <d v="2025-06-28T22:28:29" u="1"/>
        <d v="2025-06-29T01:42:49" u="1"/>
        <d v="2025-06-29T01:56:27" u="1"/>
        <d v="2025-06-29T02:02:00" u="1"/>
        <d v="2025-06-29T03:43:08" u="1"/>
        <d v="2025-06-29T07:00:53" u="1"/>
        <d v="2025-06-29T07:13:49" u="1"/>
        <d v="2025-06-29T07:17:56" u="1"/>
        <d v="2025-06-29T14:33:26" u="1"/>
        <d v="2025-06-29T16:57:04" u="1"/>
        <d v="2025-06-29T18:47:30" u="1"/>
        <d v="2025-06-29T18:50:09" u="1"/>
        <d v="2025-06-29T18:55:55" u="1"/>
        <d v="2025-06-29T18:56:34" u="1"/>
        <d v="2025-06-29T18:57:15" u="1"/>
        <d v="2025-06-29T18:57:47" u="1"/>
        <d v="2025-06-29T18:57:55" u="1"/>
        <d v="2025-06-29T19:00:50" u="1"/>
        <d v="2025-06-29T19:02:44" u="1"/>
        <d v="2025-06-29T19:09:42" u="1"/>
        <d v="2025-06-29T19:11:32" u="1"/>
        <d v="2025-06-29T19:16:36" u="1"/>
        <d v="2025-06-29T19:20:34" u="1"/>
        <d v="2025-06-29T19:22:06" u="1"/>
        <d v="2025-06-29T19:24:59" u="1"/>
        <d v="2025-06-29T19:34:24" u="1"/>
        <d v="2025-06-29T20:50:32" u="1"/>
        <d v="2025-06-29T21:09:46" u="1"/>
        <d v="2025-06-29T21:16:31" u="1"/>
        <d v="2025-06-29T23:03:11" u="1"/>
        <d v="2025-06-29T23:21:32" u="1"/>
        <d v="2025-06-30T00:32:43" u="1"/>
        <d v="2025-06-30T00:54:43" u="1"/>
        <d v="2025-06-30T01:15:59" u="1"/>
        <d v="2025-06-30T01:16:23" u="1"/>
        <d v="2025-06-30T01:20:35" u="1"/>
        <d v="2025-06-30T01:50:25" u="1"/>
        <d v="2025-06-30T02:01:36" u="1"/>
        <d v="2025-06-30T02:25:11" u="1"/>
        <d v="2025-06-30T02:45:17" u="1"/>
        <d v="2025-06-30T02:47:43" u="1"/>
        <d v="2025-06-30T04:01:15" u="1"/>
        <d v="2025-06-30T06:46:16" u="1"/>
        <d v="2025-06-30T07:59:43" u="1"/>
        <d v="2025-06-30T08:00:03" u="1"/>
        <d v="2025-06-30T08:00:24" u="1"/>
        <d v="2025-06-30T08:00:30" u="1"/>
        <d v="2025-06-30T08:00:40" u="1"/>
        <d v="2025-06-30T08:04:00" u="1"/>
        <d v="2025-06-30T15:19:23" u="1"/>
        <d v="2025-06-30T16:03:47" u="1"/>
        <d v="2025-06-30T16:33:46" u="1"/>
        <d v="2025-06-30T16:43:30" u="1"/>
        <d v="2025-06-30T17:08:07" u="1"/>
        <d v="2025-06-30T17:38:01" u="1"/>
        <d v="2025-06-30T17:51:23" u="1"/>
        <d v="2025-06-30T18:44:14" u="1"/>
        <d v="2025-06-30T18:48:22" u="1"/>
        <d v="2025-06-30T18:53:39" u="1"/>
        <d v="2025-06-30T19:15:12" u="1"/>
        <d v="2025-06-30T19:18:14" u="1"/>
        <d v="2025-06-30T19:23:43" u="1"/>
        <d v="2025-06-30T19:28:51" u="1"/>
        <d v="2025-06-30T19:30:41" u="1"/>
        <d v="2025-06-30T19:50:17" u="1"/>
        <d v="2025-06-30T20:48:38" u="1"/>
        <d v="2025-06-30T21:04:16" u="1"/>
        <d v="2025-06-30T21:07:16" u="1"/>
        <d v="2025-06-30T21:24:14" u="1"/>
        <d v="2025-06-30T21:49:03" u="1"/>
        <d v="2025-06-30T21:50:39" u="1"/>
        <d v="2025-06-30T22:10:33" u="1"/>
        <d v="2025-06-30T22:47:10" u="1"/>
        <d v="2025-06-30T22:48:17" u="1"/>
        <d v="2025-06-30T22:56:37" u="1"/>
        <d v="2025-06-30T23:16:32" u="1"/>
        <d v="2025-06-30T23:21:34" u="1"/>
        <d v="2025-06-30T23:42:56" u="1"/>
        <d v="2025-07-01T00:29:40" u="1"/>
        <d v="2025-07-01T00:44:38" u="1"/>
        <d v="2025-07-01T04:21:26" u="1"/>
        <d v="2025-07-01T04:32:25" u="1"/>
        <d v="2025-07-01T04:52:34" u="1"/>
        <d v="2025-07-01T05:15:46" u="1"/>
        <d v="2025-07-01T05:19:19" u="1"/>
        <d v="2025-07-01T05:21:59" u="1"/>
        <d v="2025-07-01T07:33:43" u="1"/>
        <d v="2025-07-01T11:00:36" u="1"/>
        <d v="2025-07-01T11:15:42" u="1"/>
        <d v="2025-07-01T11:16:44" u="1"/>
        <d v="2025-07-01T13:05:49" u="1"/>
        <d v="2025-07-01T13:55:47" u="1"/>
        <d v="2025-07-01T13:57:35" u="1"/>
        <d v="2025-07-01T15:34:59" u="1"/>
        <d v="2025-07-01T15:41:03" u="1"/>
        <d v="2025-07-01T15:43:08" u="1"/>
        <d v="2025-07-01T16:18:23" u="1"/>
        <d v="2025-07-01T16:44:38" u="1"/>
        <d v="2025-07-01T17:13:56" u="1"/>
        <d v="2025-07-01T17:14:08" u="1"/>
        <d v="2025-07-01T17:21:17" u="1"/>
        <d v="2025-07-01T17:27:31" u="1"/>
        <d v="2025-07-01T17:34:47" u="1"/>
        <d v="2025-07-01T17:37:53" u="1"/>
        <d v="2025-07-01T17:59:38" u="1"/>
        <d v="2025-07-01T18:00:26" u="1"/>
        <d v="2025-07-01T18:06:34" u="1"/>
        <d v="2025-07-01T18:16:20" u="1"/>
        <d v="2025-07-01T18:47:25" u="1"/>
        <d v="2025-07-01T18:48:05" u="1"/>
        <d v="2025-07-01T18:55:47" u="1"/>
        <d v="2025-07-01T18:59:43" u="1"/>
        <d v="2025-07-01T19:05:51" u="1"/>
        <d v="2025-07-01T19:30:03" u="1"/>
        <d v="2025-07-01T20:04:56" u="1"/>
        <d v="2025-07-01T20:16:39" u="1"/>
        <d v="2025-07-01T20:19:52" u="1"/>
        <d v="2025-07-01T20:31:42" u="1"/>
        <d v="2025-07-01T20:36:17" u="1"/>
        <d v="2025-07-01T20:57:52" u="1"/>
        <d v="2025-07-01T21:05:26" u="1"/>
        <d v="2025-07-01T21:09:03" u="1"/>
        <d v="2025-07-01T21:22:29" u="1"/>
        <d v="2025-07-01T21:30:53" u="1"/>
        <d v="2025-07-01T21:42:27" u="1"/>
        <d v="2025-07-01T21:44:22" u="1"/>
        <d v="2025-07-01T21:46:34" u="1"/>
        <d v="2025-07-01T22:21:15" u="1"/>
        <d v="2025-07-01T22:32:48" u="1"/>
        <d v="2025-07-01T22:34:43" u="1"/>
        <d v="2025-07-01T22:52:52" u="1"/>
        <d v="2025-07-01T23:01:59" u="1"/>
        <d v="2025-07-01T23:12:07" u="1"/>
        <d v="2025-07-01T23:14:39" u="1"/>
        <d v="2025-07-01T23:17:45" u="1"/>
        <d v="2025-07-01T23:51:45" u="1"/>
        <d v="2025-07-02T01:11:07" u="1"/>
        <d v="2025-07-02T01:52:00" u="1"/>
        <d v="2025-07-02T03:36:08" u="1"/>
        <d v="2025-07-02T03:40:27" u="1"/>
        <d v="2025-07-02T04:22:41" u="1"/>
        <d v="2025-07-02T05:50:29" u="1"/>
        <d v="2025-07-02T06:00:07" u="1"/>
        <d v="2025-07-02T06:20:41" u="1"/>
        <d v="2025-07-02T11:40:09" u="1"/>
        <d v="2025-07-02T12:22:04" u="1"/>
        <d v="2025-07-02T12:42:46" u="1"/>
        <d v="2025-07-02T14:16:49" u="1"/>
        <d v="2025-07-02T14:36:32" u="1"/>
        <d v="2025-07-02T14:37:42" u="1"/>
        <d v="2025-07-02T14:48:24" u="1"/>
        <d v="2025-07-02T15:03:59" u="1"/>
        <d v="2025-07-02T16:23:04" u="1"/>
        <d v="2025-07-02T16:28:17" u="1"/>
        <d v="2025-07-02T16:52:44" u="1"/>
        <d v="2025-07-02T17:15:10" u="1"/>
        <d v="2025-07-02T17:15:48" u="1"/>
        <d v="2025-07-02T17:17:03" u="1"/>
        <d v="2025-07-02T17:30:54" u="1"/>
        <d v="2025-07-02T18:23:45" u="1"/>
        <d v="2025-07-02T18:34:50" u="1"/>
        <d v="2025-07-02T18:38:14" u="1"/>
        <d v="2025-07-02T18:55:22" u="1"/>
        <d v="2025-07-02T18:55:35" u="1"/>
        <d v="2025-07-02T19:39:29" u="1"/>
        <d v="2025-07-02T19:42:05" u="1"/>
        <d v="2025-07-02T19:50:11" u="1"/>
        <d v="2025-07-02T20:23:10" u="1"/>
        <d v="2025-07-02T20:37:49" u="1"/>
        <d v="2025-07-02T20:43:22" u="1"/>
        <d v="2025-07-02T21:09:49" u="1"/>
        <d v="2025-07-02T21:15:52" u="1"/>
        <d v="2025-07-02T21:34:33" u="1"/>
        <d v="2025-07-02T21:46:56" u="1"/>
        <d v="2025-07-02T21:52:49" u="1"/>
        <d v="2025-07-02T22:01:29" u="1"/>
        <d v="2025-07-02T22:02:33" u="1"/>
        <d v="2025-07-02T22:04:25" u="1"/>
        <d v="2025-07-02T22:25:19" u="1"/>
        <d v="2025-07-02T22:25:54" u="1"/>
        <d v="2025-07-02T22:28:12" u="1"/>
        <d v="2025-07-02T22:45:10" u="1"/>
        <d v="2025-07-02T22:47:00" u="1"/>
        <d v="2025-07-02T22:50:52" u="1"/>
        <d v="2025-07-02T23:00:26" u="1"/>
        <d v="2025-07-02T23:14:12" u="1"/>
        <d v="2025-07-02T23:15:40" u="1"/>
        <d v="2025-07-02T23:29:08" u="1"/>
        <d v="2025-07-02T23:32:08" u="1"/>
        <d v="2025-07-02T23:41:53" u="1"/>
        <d v="2025-07-02T23:57:13" u="1"/>
        <d v="2025-07-03T00:05:28" u="1"/>
        <d v="2025-07-03T00:12:08" u="1"/>
        <d v="2025-07-03T00:23:08" u="1"/>
        <d v="2025-07-03T00:31:27" u="1"/>
        <d v="2025-07-03T00:37:14" u="1"/>
        <d v="2025-07-03T01:22:05" u="1"/>
        <d v="2025-07-03T01:44:33" u="1"/>
        <d v="2025-07-03T02:26:37" u="1"/>
        <d v="2025-07-03T02:37:01" u="1"/>
        <d v="2025-07-03T02:46:16" u="1"/>
        <d v="2025-07-03T03:08:01" u="1"/>
        <d v="2025-07-03T03:57:52" u="1"/>
        <d v="2025-07-03T04:00:14" u="1"/>
        <d v="2025-07-03T04:02:16" u="1"/>
        <d v="2025-07-03T14:11:17" u="1"/>
        <d v="2025-07-03T14:13:42" u="1"/>
        <d v="2025-07-03T14:41:11" u="1"/>
        <d v="2025-07-03T14:54:17" u="1"/>
        <d v="2025-07-03T15:16:50" u="1"/>
        <d v="2025-07-03T15:29:47" u="1"/>
        <d v="2025-07-03T15:30:49" u="1"/>
        <d v="2025-07-03T15:51:11" u="1"/>
        <d v="2025-07-03T16:00:24" u="1"/>
        <d v="2025-07-03T16:41:49" u="1"/>
        <d v="2025-07-03T17:24:51" u="1"/>
        <d v="2025-07-03T17:31:33" u="1"/>
        <d v="2025-07-03T17:54:01" u="1"/>
        <d v="2025-07-03T17:55:36" u="1"/>
        <d v="2025-07-03T17:55:43" u="1"/>
        <d v="2025-07-03T18:05:07" u="1"/>
        <d v="2025-07-03T18:13:16" u="1"/>
        <d v="2025-07-03T18:27:21" u="1"/>
        <d v="2025-07-03T18:35:35" u="1"/>
        <d v="2025-07-03T18:42:31" u="1"/>
        <d v="2025-07-03T19:13:18" u="1"/>
        <d v="2025-07-03T19:26:03" u="1"/>
        <d v="2025-07-03T19:34:54" u="1"/>
        <d v="2025-07-03T19:44:02" u="1"/>
        <d v="2025-07-03T19:52:29" u="1"/>
        <d v="2025-07-03T20:04:50" u="1"/>
        <d v="2025-07-03T20:46:35" u="1"/>
        <d v="2025-07-03T21:08:43" u="1"/>
        <d v="2025-07-03T21:18:39" u="1"/>
        <d v="2025-07-03T21:19:48" u="1"/>
        <d v="2025-07-03T21:51:28" u="1"/>
        <d v="2025-07-03T22:18:21" u="1"/>
        <d v="2025-07-03T22:34:27" u="1"/>
        <d v="2025-07-03T22:54:52" u="1"/>
        <d v="2025-07-03T22:56:10" u="1"/>
        <d v="2025-07-03T23:25:47" u="1"/>
        <d v="2025-07-04T00:15:40" u="1"/>
        <d v="2025-07-04T00:50:06" u="1"/>
        <d v="2025-07-04T00:57:46" u="1"/>
        <d v="2025-07-04T01:01:40" u="1"/>
        <d v="2025-07-04T02:16:53" u="1"/>
        <d v="2025-07-04T04:06:36" u="1"/>
        <d v="2025-07-04T06:31:23" u="1"/>
        <d v="2025-07-04T09:53:41" u="1"/>
        <d v="2025-07-04T09:55:20" u="1"/>
        <d v="2025-07-04T10:27:14" u="1"/>
        <d v="2025-07-04T11:56:21" u="1"/>
        <d v="2025-07-04T12:24:05" u="1"/>
        <d v="2025-07-04T14:46:41" u="1"/>
        <d v="2025-07-04T15:42:59" u="1"/>
        <d v="2025-07-04T16:27:43" u="1"/>
        <d v="2025-07-04T17:06:54" u="1"/>
        <d v="2025-07-04T17:40:19" u="1"/>
        <d v="2025-07-04T17:43:47" u="1"/>
        <d v="2025-07-04T17:43:58" u="1"/>
        <d v="2025-07-04T17:45:56" u="1"/>
        <d v="2025-07-04T18:29:01" u="1"/>
        <d v="2025-07-04T19:12:56" u="1"/>
        <d v="2025-07-04T20:05:40" u="1"/>
        <d v="2025-07-04T20:16:33" u="1"/>
        <d v="2025-07-04T20:34:41" u="1"/>
        <d v="2025-07-04T21:38:26" u="1"/>
        <d v="2025-07-04T22:46:34" u="1"/>
        <d v="2025-07-04T22:49:08" u="1"/>
        <d v="2025-07-04T22:52:59" u="1"/>
        <d v="2025-07-05T00:18:39" u="1"/>
        <d v="2025-07-05T00:37:03" u="1"/>
        <d v="2025-07-05T01:38:16" u="1"/>
        <d v="2025-07-05T01:48:08" u="1"/>
        <d v="2025-07-05T01:51:43" u="1"/>
        <d v="2025-07-05T04:00:26" u="1"/>
        <d v="2025-07-05T08:31:59" u="1"/>
        <d v="2025-07-05T13:47:57" u="1"/>
        <d v="2025-07-05T14:23:20" u="1"/>
        <d v="2025-07-05T14:39:02" u="1"/>
        <d v="2025-07-05T14:41:00" u="1"/>
        <d v="2025-07-05T14:42:14" u="1"/>
        <d v="2025-07-05T15:24:07" u="1"/>
        <d v="2025-07-05T15:25:35" u="1"/>
        <d v="2025-07-05T15:43:14" u="1"/>
        <d v="2025-07-05T16:00:30" u="1"/>
        <d v="2025-07-05T16:26:11" u="1"/>
        <d v="2025-07-05T16:38:43" u="1"/>
        <d v="2025-07-05T18:23:27" u="1"/>
        <d v="2025-07-05T18:37:42" u="1"/>
        <d v="2025-07-05T18:47:02" u="1"/>
        <d v="2025-07-05T18:51:29" u="1"/>
        <d v="2025-07-05T20:42:13" u="1"/>
        <d v="2025-07-05T20:49:39" u="1"/>
        <d v="2025-07-05T22:04:34" u="1"/>
        <d v="2025-07-06T03:10:31" u="1"/>
        <d v="2025-07-06T03:59:49" u="1"/>
        <d v="2025-07-06T04:00:18" u="1"/>
        <d v="2025-07-06T12:10:21" u="1"/>
        <d v="2025-07-06T14:02:04" u="1"/>
        <d v="2025-07-06T14:08:53" u="1"/>
        <d v="2025-07-06T14:30:29" u="1"/>
        <d v="2025-07-06T15:01:48" u="1"/>
        <d v="2025-07-06T15:04:51" u="1"/>
        <d v="2025-07-06T15:13:23" u="1"/>
        <d v="2025-07-06T15:15:53" u="1"/>
        <d v="2025-07-06T15:17:29" u="1"/>
        <d v="2025-07-06T16:05:27" u="1"/>
        <d v="2025-07-06T16:08:08" u="1"/>
        <d v="2025-07-06T16:50:36" u="1"/>
        <d v="2025-07-06T17:01:57" u="1"/>
        <d v="2025-07-06T17:10:46" u="1"/>
        <d v="2025-07-06T17:29:22" u="1"/>
        <d v="2025-07-06T17:50:01" u="1"/>
        <d v="2025-07-06T17:54:21" u="1"/>
        <d v="2025-07-06T18:02:51" u="1"/>
        <d v="2025-07-06T18:34:15" u="1"/>
        <d v="2025-07-06T18:39:03" u="1"/>
        <d v="2025-07-06T19:03:08" u="1"/>
        <d v="2025-07-06T19:04:17" u="1"/>
        <d v="2025-07-06T19:20:58" u="1"/>
        <d v="2025-07-06T19:34:48" u="1"/>
        <d v="2025-07-06T20:23:15" u="1"/>
        <d v="2025-07-06T21:27:16" u="1"/>
        <d v="2025-07-06T21:28:39" u="1"/>
        <d v="2025-07-06T21:31:57" u="1"/>
        <d v="2025-07-06T21:37:07" u="1"/>
        <d v="2025-07-06T21:46:16" u="1"/>
        <d v="2025-07-06T22:12:22" u="1"/>
        <d v="2025-07-06T22:47:32" u="1"/>
        <d v="2025-07-06T23:05:39" u="1"/>
        <d v="2025-07-06T23:41:23" u="1"/>
        <d v="2025-07-07T02:22:33" u="1"/>
        <d v="2025-07-07T02:45:18" u="1"/>
        <d v="2025-07-07T02:47:43" u="1"/>
        <d v="2025-07-07T02:54:01" u="1"/>
        <d v="2025-07-07T03:17:24" u="1"/>
        <d v="2025-07-07T03:21:55" u="1"/>
        <d v="2025-07-07T03:22:38" u="1"/>
        <d v="2025-07-07T03:25:06" u="1"/>
        <d v="2025-07-07T04:38:29" u="1"/>
        <d v="2025-07-07T05:00:30" u="1"/>
        <d v="2025-07-07T05:31:40" u="1"/>
        <d v="2025-07-07T13:02:40" u="1"/>
        <d v="2025-07-07T14:13:21" u="1"/>
        <d v="2025-07-07T14:45:39" u="1"/>
        <d v="2025-07-07T15:01:46" u="1"/>
        <d v="2025-07-07T15:03:06" u="1"/>
        <d v="2025-07-07T15:36:53" u="1"/>
        <d v="2025-07-07T15:44:41" u="1"/>
        <d v="2025-07-07T15:47:56" u="1"/>
        <d v="2025-07-07T15:48:07" u="1"/>
        <d v="2025-07-07T16:00:09" u="1"/>
        <d v="2025-07-07T16:01:51" u="1"/>
        <d v="2025-07-07T16:56:08" u="1"/>
        <d v="2025-07-07T17:09:26" u="1"/>
        <d v="2025-07-07T17:21:17" u="1"/>
        <d v="2025-07-07T17:29:57" u="1"/>
        <d v="2025-07-07T18:42:24" u="1"/>
        <d v="2025-07-07T18:46:45" u="1"/>
        <d v="2025-07-07T18:51:33" u="1"/>
        <d v="2025-07-07T19:01:02" u="1"/>
        <d v="2025-07-07T19:07:26" u="1"/>
        <d v="2025-07-07T20:09:44" u="1"/>
        <d v="2025-07-07T20:19:10" u="1"/>
        <d v="2025-07-07T20:25:08" u="1"/>
        <d v="2025-07-07T20:25:22" u="1"/>
        <d v="2025-07-07T20:37:11" u="1"/>
        <d v="2025-07-07T21:43:15" u="1"/>
        <d v="2025-07-07T21:44:53" u="1"/>
        <d v="2025-07-07T21:50:23" u="1"/>
        <d v="2025-07-07T22:23:30" u="1"/>
        <d v="2025-07-07T22:46:29" u="1"/>
        <d v="2025-07-07T22:56:31" u="1"/>
        <d v="2025-07-07T23:03:16" u="1"/>
        <d v="2025-07-07T23:22:13" u="1"/>
        <d v="2025-07-07T23:22:17" u="1"/>
        <d v="2025-07-07T23:49:54" u="1"/>
        <d v="2025-07-07T23:54:57" u="1"/>
        <d v="2025-07-07T23:56:12" u="1"/>
        <d v="2025-07-08T00:07:56" u="1"/>
        <d v="2025-07-08T00:09:16" u="1"/>
        <d v="2025-07-08T00:37:32" u="1"/>
        <d v="2025-07-08T03:07:43" u="1"/>
        <d v="2025-07-08T03:38:59" u="1"/>
        <d v="2025-07-08T03:59:22" u="1"/>
        <d v="2025-07-08T04:15:31" u="1"/>
        <d v="2025-07-08T04:40:34" u="1"/>
        <d v="2025-07-08T04:52:29" u="1"/>
        <d v="2025-07-08T05:20:30" u="1"/>
        <d v="2025-07-08T05:55:11" u="1"/>
        <d v="2025-07-08T12:39:50" u="1"/>
        <d v="2025-07-08T14:50:32" u="1"/>
        <d v="2025-07-08T14:51:07" u="1"/>
        <d v="2025-07-08T15:01:16" u="1"/>
        <d v="2025-07-08T15:07:55" u="1"/>
        <d v="2025-07-08T15:20:38" u="1"/>
        <d v="2025-07-08T16:09:49" u="1"/>
        <d v="2025-07-08T16:27:39" u="1"/>
        <d v="2025-07-08T17:10:45" u="1"/>
        <d v="2025-07-08T17:46:47" u="1"/>
        <d v="2025-07-08T17:48:08" u="1"/>
        <d v="2025-07-08T18:09:23" u="1"/>
        <d v="2025-07-08T18:36:34" u="1"/>
        <d v="2025-07-08T18:40:12" u="1"/>
        <d v="2025-07-08T18:42:19" u="1"/>
        <d v="2025-07-08T18:42:40" u="1"/>
        <d v="2025-07-08T18:44:14" u="1"/>
        <d v="2025-07-08T18:47:31" u="1"/>
        <d v="2025-07-08T18:58:00" u="1"/>
        <d v="2025-07-08T19:00:34" u="1"/>
        <d v="2025-07-08T19:01:37" u="1"/>
        <d v="2025-07-08T19:03:41" u="1"/>
        <d v="2025-07-08T19:06:11" u="1"/>
        <d v="2025-07-08T19:20:18" u="1"/>
        <d v="2025-07-08T19:21:09" u="1"/>
        <d v="2025-07-08T19:25:46" u="1"/>
        <d v="2025-07-08T19:28:06" u="1"/>
        <d v="2025-07-08T19:29:53" u="1"/>
        <d v="2025-07-08T19:29:59" u="1"/>
        <d v="2025-07-08T19:30:13" u="1"/>
        <d v="2025-07-08T19:39:26" u="1"/>
        <d v="2025-07-08T19:46:53" u="1"/>
        <d v="2025-07-08T20:04:23" u="1"/>
        <d v="2025-07-08T20:04:45" u="1"/>
        <d v="2025-07-08T20:09:14" u="1"/>
        <d v="2025-07-08T20:10:02" u="1"/>
        <d v="2025-07-08T20:30:40" u="1"/>
        <d v="2025-07-08T20:42:43" u="1"/>
        <d v="2025-07-08T20:46:51" u="1"/>
        <d v="2025-07-08T20:48:33" u="1"/>
        <d v="2025-07-08T20:52:31" u="1"/>
        <d v="2025-07-08T21:12:06" u="1"/>
        <d v="2025-07-08T21:37:48" u="1"/>
        <d v="2025-07-08T21:43:10" u="1"/>
        <d v="2025-07-08T21:51:06" u="1"/>
        <d v="2025-07-08T21:58:53" u="1"/>
        <d v="2025-07-08T22:18:58" u="1"/>
        <d v="2025-07-08T22:20:16" u="1"/>
        <d v="2025-07-08T22:20:25" u="1"/>
        <d v="2025-07-08T22:46:23" u="1"/>
        <d v="2025-07-08T23:11:18" u="1"/>
        <d v="2025-07-08T23:28:40" u="1"/>
        <d v="2025-07-08T23:34:58" u="1"/>
        <d v="2025-07-08T23:43:33" u="1"/>
        <d v="2025-07-09T01:22:36" u="1"/>
        <d v="2025-07-09T04:52:49" u="1"/>
        <d v="2025-07-09T05:11:39" u="1"/>
        <d v="2025-07-09T07:47:39" u="1"/>
        <d v="2025-07-09T10:34:49" u="1"/>
        <d v="2025-07-09T13:36:24" u="1"/>
        <d v="2025-07-09T14:42:38" u="1"/>
        <d v="2025-07-09T15:15:57" u="1"/>
        <d v="2025-07-09T15:29:01" u="1"/>
        <d v="2025-07-09T15:29:06" u="1"/>
        <d v="2025-07-09T15:46:59" u="1"/>
        <d v="2025-07-09T15:53:30" u="1"/>
        <d v="2025-07-09T16:00:04" u="1"/>
        <d v="2025-07-09T16:11:54" u="1"/>
        <d v="2025-07-09T16:14:50" u="1"/>
        <d v="2025-07-09T16:30:32" u="1"/>
        <d v="2025-07-09T16:31:21" u="1"/>
        <d v="2025-07-09T17:30:14" u="1"/>
        <d v="2025-07-09T18:00:03" u="1"/>
        <d v="2025-07-09T18:08:28" u="1"/>
        <d v="2025-07-09T18:22:25" u="1"/>
        <d v="2025-07-09T18:27:41" u="1"/>
        <d v="2025-07-09T19:09:48" u="1"/>
        <d v="2025-07-09T19:15:48" u="1"/>
        <d v="2025-07-09T19:22:43" u="1"/>
        <d v="2025-07-09T19:23:12" u="1"/>
        <d v="2025-07-09T19:30:20" u="1"/>
        <d v="2025-07-09T19:31:53" u="1"/>
        <d v="2025-07-09T20:04:30" u="1"/>
        <d v="2025-07-09T20:05:18" u="1"/>
        <d v="2025-07-09T20:08:31" u="1"/>
        <d v="2025-07-09T20:25:20" u="1"/>
        <d v="2025-07-09T20:40:52" u="1"/>
        <d v="2025-07-09T21:22:08" u="1"/>
        <d v="2025-07-09T21:24:31" u="1"/>
        <d v="2025-07-09T21:24:40" u="1"/>
        <d v="2025-07-09T21:24:49" u="1"/>
        <d v="2025-07-09T21:27:15" u="1"/>
        <d v="2025-07-09T21:28:16" u="1"/>
        <d v="2025-07-09T21:29:03" u="1"/>
        <d v="2025-07-09T21:30:06" u="1"/>
        <d v="2025-07-09T21:30:43" u="1"/>
        <d v="2025-07-09T21:31:43" u="1"/>
        <d v="2025-07-09T21:32:10" u="1"/>
        <d v="2025-07-09T21:32:41" u="1"/>
        <d v="2025-07-09T21:33:47" u="1"/>
        <d v="2025-07-09T21:35:52" u="1"/>
        <d v="2025-07-09T21:52:16" u="1"/>
        <d v="2025-07-09T21:56:38" u="1"/>
        <d v="2025-07-09T22:00:30" u="1"/>
        <d v="2025-07-09T22:00:59" u="1"/>
        <d v="2025-07-09T22:01:31" u="1"/>
        <d v="2025-07-09T22:01:59" u="1"/>
        <d v="2025-07-09T22:02:31" u="1"/>
        <d v="2025-07-09T22:02:42" u="1"/>
        <d v="2025-07-09T22:03:13" u="1"/>
        <d v="2025-07-09T22:04:22" u="1"/>
        <d v="2025-07-09T22:04:54" u="1"/>
        <d v="2025-07-09T22:05:34" u="1"/>
        <d v="2025-07-09T22:06:56" u="1"/>
        <d v="2025-07-09T22:07:19" u="1"/>
        <d v="2025-07-09T22:09:56" u="1"/>
        <d v="2025-07-09T22:40:11" u="1"/>
        <d v="2025-07-09T22:47:43" u="1"/>
        <d v="2025-07-09T23:02:10" u="1"/>
        <d v="2025-07-09T23:03:27" u="1"/>
        <d v="2025-07-09T23:15:12" u="1"/>
        <d v="2025-07-09T23:16:41" u="1"/>
        <d v="2025-07-09T23:52:09" u="1"/>
        <d v="2025-07-10T00:00:44" u="1"/>
        <d v="2025-07-10T00:28:48" u="1"/>
        <d v="2025-07-10T00:29:09" u="1"/>
        <d v="2025-07-10T00:45:36" u="1"/>
        <d v="2025-07-10T00:54:48" u="1"/>
        <d v="2025-07-10T01:09:00" u="1"/>
        <d v="2025-07-10T01:22:24" u="1"/>
        <d v="2025-07-10T01:39:47" u="1"/>
        <d v="2025-07-10T01:41:01" u="1"/>
        <d v="2025-07-10T03:01:17" u="1"/>
        <d v="2025-07-10T03:26:15" u="1"/>
        <d v="2025-07-10T04:22:43" u="1"/>
        <d v="2025-07-10T05:16:43" u="1"/>
        <d v="2025-07-10T05:33:55" u="1"/>
        <d v="2025-07-10T06:20:23" u="1"/>
        <d v="2025-07-10T06:21:56" u="1"/>
        <d v="2025-07-10T06:52:35" u="1"/>
        <d v="2025-07-10T07:00:20" u="1"/>
        <d v="2025-07-10T07:18:38" u="1"/>
        <d v="2025-07-10T08:43:36" u="1"/>
        <d v="2025-07-10T08:48:58" u="1"/>
        <d v="2025-07-10T09:23:43" u="1"/>
        <d v="2025-07-10T09:24:34" u="1"/>
        <d v="2025-07-10T09:25:27" u="1"/>
        <d v="2025-07-10T09:27:29" u="1"/>
        <d v="2025-07-10T10:00:55" u="1"/>
        <d v="2025-07-10T10:11:13" u="1"/>
        <d v="2025-07-10T10:15:04" u="1"/>
        <d v="2025-07-10T11:01:18" u="1"/>
        <d v="2025-07-10T11:11:41" u="1"/>
        <d v="2025-07-10T12:11:30" u="1"/>
        <d v="2025-07-10T13:13:38" u="1"/>
        <d v="2025-07-10T13:44:53" u="1"/>
        <d v="2025-07-10T13:47:22" u="1"/>
        <d v="2025-07-10T14:29:37" u="1"/>
        <d v="2025-07-10T14:33:22" u="1"/>
        <d v="2025-07-10T14:36:08" u="1"/>
        <d v="2025-07-10T14:36:39" u="1"/>
        <d v="2025-07-10T14:53:33" u="1"/>
        <d v="2025-07-10T15:01:44" u="1"/>
        <d v="2025-07-10T15:37:13" u="1"/>
        <d v="2025-07-10T15:40:17" u="1"/>
        <d v="2025-07-10T15:40:49" u="1"/>
        <d v="2025-07-10T16:07:27" u="1"/>
        <d v="2025-07-10T16:10:22" u="1"/>
        <d v="2025-07-10T16:18:17" u="1"/>
        <d v="2025-07-10T16:41:59" u="1"/>
        <d v="2025-07-10T16:51:23" u="1"/>
        <d v="2025-07-10T16:52:04" u="1"/>
        <d v="2025-07-10T17:00:28" u="1"/>
        <d v="2025-07-10T17:15:18" u="1"/>
        <d v="2025-07-10T17:54:39" u="1"/>
        <d v="2025-07-10T17:57:29" u="1"/>
        <d v="2025-07-10T17:59:56" u="1"/>
        <d v="2025-07-10T18:00:36" u="1"/>
        <d v="2025-07-10T18:06:20" u="1"/>
        <d v="2025-07-10T18:18:02" u="1"/>
        <d v="2025-07-10T18:28:49" u="1"/>
        <d v="2025-07-10T18:40:27" u="1"/>
        <d v="2025-07-10T18:56:57" u="1"/>
        <d v="2025-07-10T19:02:54" u="1"/>
        <d v="2025-07-10T19:06:58" u="1"/>
        <d v="2025-07-10T19:33:35" u="1"/>
        <d v="2025-07-10T19:33:58" u="1"/>
        <d v="2025-07-10T20:02:24" u="1"/>
        <d v="2025-07-10T20:27:52" u="1"/>
        <d v="2025-07-10T20:43:11" u="1"/>
        <d v="2025-07-10T21:44:14" u="1"/>
        <d v="2025-07-10T21:45:46" u="1"/>
        <d v="2025-07-10T21:46:45" u="1"/>
        <d v="2025-07-10T21:55:53" u="1"/>
        <d v="2025-07-10T22:00:16" u="1"/>
        <d v="2025-07-10T22:06:18" u="1"/>
        <d v="2025-07-10T22:37:35" u="1"/>
        <d v="2025-07-10T23:55:03" u="1"/>
        <d v="2025-07-11T01:02:12" u="1"/>
        <d v="2025-07-11T03:29:50" u="1"/>
        <d v="2025-07-11T03:43:14" u="1"/>
        <d v="2025-07-11T10:21:22" u="1"/>
        <d v="2025-07-11T14:00:48" u="1"/>
        <d v="2025-07-11T14:41:35" u="1"/>
        <d v="2025-07-11T15:25:02" u="1"/>
        <d v="2025-07-11T15:26:32" u="1"/>
        <d v="2025-07-11T15:34:15" u="1"/>
        <d v="2025-07-11T15:43:46" u="1"/>
        <d v="2025-07-11T16:58:01" u="1"/>
        <d v="2025-07-11T18:16:03" u="1"/>
        <d v="2025-07-11T18:19:59" u="1"/>
        <d v="2025-07-11T18:24:26" u="1"/>
        <d v="2025-07-11T18:52:08" u="1"/>
        <d v="2025-07-11T18:59:14" u="1"/>
        <d v="2025-07-11T19:00:24" u="1"/>
        <d v="2025-07-11T19:49:09" u="1"/>
        <d v="2025-07-11T19:52:12" u="1"/>
        <d v="2025-07-11T20:28:57" u="1"/>
        <d v="2025-07-11T20:52:59" u="1"/>
        <d v="2025-07-11T20:54:58" u="1"/>
        <d v="2025-07-11T21:10:19" u="1"/>
        <d v="2025-07-11T21:11:08" u="1"/>
        <d v="2025-07-11T21:14:46" u="1"/>
        <d v="2025-07-11T21:26:58" u="1"/>
        <d v="2025-07-11T21:35:24" u="1"/>
        <d v="2025-07-11T22:21:57" u="1"/>
        <d v="2025-07-11T22:35:00" u="1"/>
        <d v="2025-07-12T00:39:28" u="1"/>
        <d v="2025-07-12T00:40:28" u="1"/>
        <d v="2025-07-12T00:40:46" u="1"/>
        <d v="2025-07-12T00:41:52" u="1"/>
        <d v="2025-07-12T02:37:58" u="1"/>
        <d v="2025-07-12T02:55:37" u="1"/>
        <d v="2025-07-12T03:01:34" u="1"/>
        <d v="2025-07-12T05:33:11" u="1"/>
        <d v="2025-07-12T14:19:07" u="1"/>
        <d v="2025-07-12T16:00:26" u="1"/>
        <d v="2025-07-12T17:18:56" u="1"/>
        <d v="2025-07-12T17:51:35" u="1"/>
        <d v="2025-07-12T19:52:57" u="1"/>
        <d v="2025-07-12T20:13:08" u="1"/>
        <d v="2025-07-13T07:59:29" u="1"/>
        <d v="2025-07-13T08:01:01" u="1"/>
        <d v="2025-07-13T08:20:33" u="1"/>
        <d v="2025-07-13T08:31:10" u="1"/>
        <d v="2025-07-13T11:50:33" u="1"/>
        <d v="2025-07-13T13:04:01" u="1"/>
        <d v="2025-07-13T16:43:19" u="1"/>
        <d v="2025-07-13T16:44:22" u="1"/>
        <d v="2025-07-13T17:27:33" u="1"/>
        <d v="2025-07-13T18:48:13" u="1"/>
        <d v="2025-07-13T20:29:31" u="1"/>
        <d v="2025-07-13T20:32:19" u="1"/>
        <d v="2025-07-13T20:39:23" u="1"/>
        <d v="2025-07-13T20:39:44" u="1"/>
        <d v="2025-07-14T03:01:07" u="1"/>
        <d v="2025-07-14T04:05:49" u="1"/>
        <d v="2025-07-14T14:32:08" u="1"/>
        <d v="2025-07-14T14:40:33" u="1"/>
        <d v="2025-07-14T15:11:22" u="1"/>
        <d v="2025-07-14T15:45:14" u="1"/>
        <d v="2025-07-14T15:50:51" u="1"/>
        <d v="2025-07-14T16:23:29" u="1"/>
        <d v="2025-07-14T17:06:09" u="1"/>
        <d v="2025-07-14T17:19:45" u="1"/>
        <d v="2025-07-14T17:23:40" u="1"/>
        <d v="2025-07-14T17:31:06" u="1"/>
        <d v="2025-07-14T18:22:15" u="1"/>
        <d v="2025-07-14T19:04:05" u="1"/>
        <d v="2025-07-14T19:15:21" u="1"/>
        <d v="2025-07-14T19:26:38" u="1"/>
        <d v="2025-07-14T19:31:38" u="1"/>
        <d v="2025-07-14T19:32:39" u="1"/>
        <d v="2025-07-14T20:08:23" u="1"/>
        <d v="2025-07-14T20:39:54" u="1"/>
        <d v="2025-07-14T20:51:35" u="1"/>
        <d v="2025-07-14T20:53:58" u="1"/>
        <d v="2025-07-14T21:01:20" u="1"/>
        <d v="2025-07-14T21:34:06" u="1"/>
        <d v="2025-07-14T21:35:01" u="1"/>
        <d v="2025-07-14T22:33:46" u="1"/>
        <d v="2025-07-14T23:11:25" u="1"/>
        <d v="2025-07-14T23:15:28" u="1"/>
        <d v="2025-07-14T23:22:44" u="1"/>
        <d v="2025-07-15T00:06:07" u="1"/>
        <d v="2025-07-15T00:07:53" u="1"/>
        <d v="2025-07-15T00:41:17" u="1"/>
        <d v="2025-07-15T00:59:02" u="1"/>
        <d v="2025-07-15T01:14:47" u="1"/>
        <d v="2025-07-15T01:51:40" u="1"/>
        <d v="2025-07-15T02:30:11" u="1"/>
        <d v="2025-07-15T02:30:22" u="1"/>
        <d v="2025-07-15T02:49:48" u="1"/>
        <d v="2025-07-15T02:52:27" u="1"/>
        <d v="2025-07-15T02:54:17" u="1"/>
        <d v="2025-07-15T03:33:47" u="1"/>
        <d v="2025-07-15T04:08:14" u="1"/>
        <d v="2025-07-15T05:50:03" u="1"/>
        <d v="2025-07-15T08:40:42" u="1"/>
        <d v="2025-07-15T13:59:32" u="1"/>
        <d v="2025-07-15T14:59:56" u="1"/>
        <d v="2025-07-15T15:00:35" u="1"/>
        <d v="2025-07-15T15:42:05" u="1"/>
        <d v="2025-07-15T17:12:00" u="1"/>
        <d v="2025-07-15T17:17:29" u="1"/>
        <d v="2025-07-15T17:25:15" u="1"/>
        <d v="2025-07-15T17:25:54" u="1"/>
        <d v="2025-07-15T17:26:14" u="1"/>
        <d v="2025-07-15T17:42:13" u="1"/>
        <d v="2025-07-15T17:45:54" u="1"/>
        <d v="2025-07-15T18:21:04" u="1"/>
        <d v="2025-07-15T18:34:36" u="1"/>
        <d v="2025-07-15T19:01:22" u="1"/>
        <d v="2025-07-15T19:32:02" u="1"/>
        <d v="2025-07-15T20:04:07" u="1"/>
        <d v="2025-07-15T20:26:33" u="1"/>
        <d v="2025-07-15T21:03:52" u="1"/>
        <d v="2025-07-15T21:27:51" u="1"/>
        <d v="2025-07-15T21:32:11" u="1"/>
        <d v="2025-07-15T22:09:24" u="1"/>
        <d v="2025-07-15T22:10:04" u="1"/>
        <d v="2025-07-15T22:10:19" u="1"/>
        <d v="2025-07-15T22:12:10" u="1"/>
        <d v="2025-07-15T22:27:05" u="1"/>
        <d v="2025-07-15T22:43:36" u="1"/>
        <d v="2025-07-15T23:23:31" u="1"/>
        <d v="2025-07-15T23:33:58" u="1"/>
        <d v="2025-07-15T23:46:51" u="1"/>
        <d v="2025-07-16T00:57:13" u="1"/>
        <d v="2025-07-16T01:00:26" u="1"/>
        <d v="2025-07-16T01:04:55" u="1"/>
        <d v="2025-07-16T01:18:17" u="1"/>
        <d v="2025-07-16T01:42:03" u="1"/>
        <d v="2025-07-16T02:16:09" u="1"/>
        <d v="2025-07-16T02:27:13" u="1"/>
        <d v="2025-07-16T03:08:14" u="1"/>
        <d v="2025-07-16T03:15:34" u="1"/>
        <d v="2025-07-16T03:35:21" u="1"/>
        <d v="2025-07-16T04:19:18" u="1"/>
        <d v="2025-07-16T04:44:06" u="1"/>
        <d v="2025-07-16T05:04:19" u="1"/>
        <d v="2025-07-16T05:04:34" u="1"/>
        <d v="2025-07-16T05:04:45" u="1"/>
        <d v="2025-07-16T06:12:07" u="1"/>
        <d v="2025-07-16T06:12:11" u="1"/>
        <d v="2025-07-16T06:12:34" u="1"/>
        <d v="2025-07-16T06:22:36" u="1"/>
        <d v="2025-07-16T08:29:04" u="1"/>
        <d v="2025-07-16T08:31:06" u="1"/>
        <d v="2025-07-16T13:13:59" u="1"/>
        <d v="2025-07-16T14:02:11" u="1"/>
        <d v="2025-07-16T14:13:46" u="1"/>
        <d v="2025-07-16T14:14:23" u="1"/>
        <d v="2025-07-16T14:18:39" u="1"/>
        <d v="2025-07-16T14:39:31" u="1"/>
        <d v="2025-07-16T14:43:28" u="1"/>
        <d v="2025-07-16T15:22:16" u="1"/>
        <d v="2025-07-16T15:39:13" u="1"/>
        <d v="2025-07-16T17:00:21" u="1"/>
        <d v="2025-07-16T17:12:57" u="1"/>
        <d v="2025-07-16T17:17:49" u="1"/>
        <d v="2025-07-16T18:17:08" u="1"/>
        <d v="2025-07-16T19:03:34" u="1"/>
        <d v="2025-07-16T19:49:39" u="1"/>
        <d v="2025-07-16T19:50:09" u="1"/>
        <d v="2025-07-16T19:50:54" u="1"/>
        <d v="2025-07-16T19:53:22" u="1"/>
        <d v="2025-07-16T19:59:01" u="1"/>
        <d v="2025-07-16T20:04:17" u="1"/>
        <d v="2025-07-16T20:11:03" u="1"/>
        <d v="2025-07-16T22:48:18" u="1"/>
        <d v="2025-07-16T23:34:22" u="1"/>
        <d v="2025-07-16T23:34:52" u="1"/>
        <d v="2025-07-16T23:40:36" u="1"/>
        <d v="2025-07-17T00:36:13" u="1"/>
        <d v="2025-07-17T01:00:58" u="1"/>
        <d v="2025-07-17T01:31:01" u="1"/>
        <d v="2025-07-17T01:33:05" u="1"/>
        <d v="2025-07-17T01:34:44" u="1"/>
        <d v="2025-07-17T01:35:42" u="1"/>
        <d v="2025-07-17T02:23:39" u="1"/>
        <d v="2025-07-17T02:44:26" u="1"/>
        <d v="2025-07-17T02:48:27" u="1"/>
        <d v="2025-07-17T02:48:32" u="1"/>
        <d v="2025-07-17T02:58:11" u="1"/>
        <d v="2025-07-17T03:03:37" u="1"/>
        <d v="2025-07-17T03:09:47" u="1"/>
        <d v="2025-07-17T03:10:34" u="1"/>
        <d v="2025-07-17T03:12:26" u="1"/>
        <d v="2025-07-17T03:18:14" u="1"/>
        <d v="2025-07-17T03:19:43" u="1"/>
        <d v="2025-07-17T04:27:54" u="1"/>
        <d v="2025-07-17T04:34:30" u="1"/>
        <d v="2025-07-17T06:17:09" u="1"/>
        <d v="2025-07-17T06:23:58" u="1"/>
        <d v="2025-07-17T07:20:11" u="1"/>
        <d v="2025-07-17T07:56:25" u="1"/>
        <d v="2025-07-17T13:20:58" u="1"/>
        <d v="2025-07-17T13:55:08" u="1"/>
        <d v="2025-07-17T14:03:45" u="1"/>
        <d v="2025-07-17T14:46:24" u="1"/>
        <d v="2025-07-17T15:15:36" u="1"/>
        <d v="2025-07-17T15:51:53" u="1"/>
        <d v="2025-07-17T16:09:51" u="1"/>
        <d v="2025-07-17T17:19:54" u="1"/>
        <d v="2025-07-17T18:03:57" u="1"/>
        <d v="2025-07-17T18:06:51" u="1"/>
        <d v="2025-07-17T18:10:33" u="1"/>
        <d v="2025-07-17T18:15:17" u="1"/>
        <d v="2025-07-17T18:16:18" u="1"/>
        <d v="2025-07-17T18:29:47" u="1"/>
        <d v="2025-07-17T18:36:26" u="1"/>
        <d v="2025-07-17T18:43:39" u="1"/>
        <d v="2025-07-17T19:02:26" u="1"/>
        <d v="2025-07-17T19:44:13" u="1"/>
        <d v="2025-07-17T20:38:07" u="1"/>
        <d v="2025-07-17T20:53:25" u="1"/>
        <d v="2025-07-17T21:07:22" u="1"/>
        <d v="2025-07-17T21:08:27" u="1"/>
        <d v="2025-07-17T21:08:51" u="1"/>
        <d v="2025-07-17T21:16:51" u="1"/>
        <d v="2025-07-17T21:30:15" u="1"/>
        <d v="2025-07-17T21:51:57" u="1"/>
        <d v="2025-07-17T22:17:01" u="1"/>
        <d v="2025-07-17T22:17:06" u="1"/>
        <d v="2025-07-17T22:39:19" u="1"/>
        <d v="2025-07-17T22:41:42" u="1"/>
        <d v="2025-07-17T22:42:25" u="1"/>
        <d v="2025-07-17T23:02:47" u="1"/>
        <d v="2025-07-17T23:22:04" u="1"/>
        <d v="2025-07-18T00:36:15" u="1"/>
        <d v="2025-07-18T00:36:29" u="1"/>
        <d v="2025-07-18T00:38:01" u="1"/>
        <d v="2025-07-18T01:34:17" u="1"/>
        <d v="2025-07-18T02:08:24" u="1"/>
        <d v="2025-07-18T03:44:33" u="1"/>
        <d v="2025-07-18T03:46:09" u="1"/>
        <d v="2025-07-18T05:05:00" u="1"/>
        <d v="2025-07-18T06:54:44" u="1"/>
        <d v="2025-07-18T10:10:38" u="1"/>
        <d v="2025-07-18T10:39:00" u="1"/>
        <d v="2025-07-18T11:29:09" u="1"/>
        <d v="2025-07-18T15:06:13" u="1"/>
        <d v="2025-07-18T15:29:16" u="1"/>
        <d v="2025-07-18T15:29:44" u="1"/>
        <d v="2025-07-18T15:36:09" u="1"/>
        <d v="2025-07-18T16:26:22" u="1"/>
        <d v="2025-07-18T16:31:18" u="1"/>
        <d v="2025-07-18T17:06:23" u="1"/>
        <d v="2025-07-18T17:08:09" u="1"/>
        <d v="2025-07-18T17:27:03" u="1"/>
        <d v="2025-07-18T18:23:14" u="1"/>
        <d v="2025-07-18T18:31:46" u="1"/>
        <d v="2025-07-18T19:06:18" u="1"/>
        <d v="2025-07-18T19:47:39" u="1"/>
        <d v="2025-07-18T19:48:07" u="1"/>
        <d v="2025-07-18T20:10:07" u="1"/>
        <d v="2025-07-18T20:16:05" u="1"/>
        <d v="2025-07-18T20:16:11" u="1"/>
        <d v="2025-07-18T20:21:07" u="1"/>
        <d v="2025-07-18T20:21:21" u="1"/>
        <d v="2025-07-18T21:28:10" u="1"/>
        <d v="2025-07-18T21:29:58" u="1"/>
        <d v="2025-07-18T21:32:41" u="1"/>
        <d v="2025-07-18T21:42:45" u="1"/>
        <d v="2025-07-18T21:45:36" u="1"/>
        <d v="2025-07-18T21:56:43" u="1"/>
        <d v="2025-07-18T21:59:19" u="1"/>
        <d v="2025-07-18T22:03:55" u="1"/>
        <d v="2025-07-18T22:13:55" u="1"/>
        <d v="2025-07-18T22:45:08" u="1"/>
        <d v="2025-07-19T00:12:23" u="1"/>
        <d v="2025-07-19T00:27:53" u="1"/>
        <d v="2025-07-19T00:28:31" u="1"/>
        <d v="2025-07-19T00:30:49" u="1"/>
        <d v="2025-07-19T00:53:52" u="1"/>
        <d v="2025-07-19T01:05:39" u="1"/>
        <d v="2025-07-19T02:49:29" u="1"/>
        <d v="2025-07-19T03:37:09" u="1"/>
        <d v="2025-07-19T03:43:29" u="1"/>
        <d v="2025-07-19T04:43:55" u="1"/>
        <d v="2025-07-19T05:38:27" u="1"/>
        <d v="2025-07-19T05:40:32" u="1"/>
        <d v="2025-07-19T05:44:02" u="1"/>
        <d v="2025-07-19T06:45:22" u="1"/>
        <d v="2025-07-19T13:31:40" u="1"/>
        <d v="2025-07-19T14:07:40" u="1"/>
        <d v="2025-07-19T14:11:02" u="1"/>
        <d v="2025-07-19T17:43:38" u="1"/>
        <d v="2025-07-19T17:46:32" u="1"/>
        <d v="2025-07-19T18:55:56" u="1"/>
        <d v="2025-07-19T19:01:41" u="1"/>
        <d v="2025-07-19T19:15:42" u="1"/>
        <d v="2025-07-19T20:17:04" u="1"/>
        <d v="2025-07-19T20:17:27" u="1"/>
        <d v="2025-07-19T20:18:20" u="1"/>
        <d v="2025-07-19T22:20:57" u="1"/>
        <d v="2025-07-19T23:19:07" u="1"/>
        <d v="2025-07-19T23:19:16" u="1"/>
        <d v="2025-07-19T23:23:12" u="1"/>
        <d v="2025-07-20T00:03:27" u="1"/>
        <d v="2025-07-20T00:42:22" u="1"/>
        <d v="2025-07-20T00:47:26" u="1"/>
        <d v="2025-07-20T00:57:44" u="1"/>
        <d v="2025-07-20T01:12:12" u="1"/>
        <d v="2025-07-20T01:33:45" u="1"/>
        <d v="2025-07-20T01:33:48" u="1"/>
        <d v="2025-07-20T01:44:51" u="1"/>
        <d v="2025-07-20T01:50:00" u="1"/>
        <d v="2025-07-20T01:53:18" u="1"/>
        <d v="2025-07-20T01:55:30" u="1"/>
        <d v="2025-07-20T02:00:13" u="1"/>
        <d v="2025-07-20T02:00:23" u="1"/>
        <d v="2025-07-20T02:02:08" u="1"/>
        <d v="2025-07-20T02:02:49" u="1"/>
        <d v="2025-07-20T02:12:54" u="1"/>
        <d v="2025-07-20T02:17:57" u="1"/>
        <d v="2025-07-20T03:01:27" u="1"/>
        <d v="2025-07-20T03:10:17" u="1"/>
        <d v="2025-07-20T03:41:30" u="1"/>
        <d v="2025-07-20T03:41:47" u="1"/>
        <d v="2025-07-20T04:01:37" u="1"/>
        <d v="2025-07-20T04:10:34" u="1"/>
        <d v="2025-07-20T05:29:53" u="1"/>
        <d v="2025-07-20T11:11:08" u="1"/>
        <d v="2025-07-20T15:10:43" u="1"/>
        <d v="2025-07-20T19:22:19" u="1"/>
        <d v="2025-07-20T20:20:34" u="1"/>
        <d v="2025-07-20T20:33:03" u="1"/>
        <d v="2025-07-20T20:40:50" u="1"/>
        <d v="2025-07-20T21:01:18" u="1"/>
        <d v="2025-07-20T21:04:36" u="1"/>
        <d v="2025-07-20T21:17:18" u="1"/>
        <d v="2025-07-20T21:27:41" u="1"/>
        <d v="2025-07-20T22:11:11" u="1"/>
        <d v="2025-07-20T23:25:24" u="1"/>
        <d v="2025-07-21T00:16:26" u="1"/>
        <d v="2025-07-21T02:56:05" u="1"/>
        <d v="2025-07-21T05:01:23" u="1"/>
        <d v="2025-07-21T05:02:28" u="1"/>
        <d v="2025-07-21T05:20:15" u="1"/>
        <d v="2025-07-21T11:35:44" u="1"/>
        <d v="2025-07-21T12:13:37" u="1"/>
        <d v="2025-07-21T14:12:19" u="1"/>
        <d v="2025-07-21T14:40:52" u="1"/>
        <d v="2025-07-21T16:14:47" u="1"/>
        <d v="2025-07-21T16:26:46" u="1"/>
        <d v="2025-07-21T17:57:57" u="1"/>
        <d v="2025-07-21T18:01:37" u="1"/>
        <d v="2025-07-21T18:13:39" u="1"/>
        <d v="2025-07-21T18:25:58" u="1"/>
        <d v="2025-07-21T18:26:18" u="1"/>
        <d v="2025-07-21T18:35:40" u="1"/>
        <d v="2025-07-21T18:46:11" u="1"/>
        <d v="2025-07-21T19:55:35" u="1"/>
        <d v="2025-07-21T20:10:21" u="1"/>
        <d v="2025-07-21T20:31:42" u="1"/>
        <d v="2025-07-21T21:03:28" u="1"/>
        <d v="2025-07-21T21:37:11" u="1"/>
        <d v="2025-07-21T23:30:48" u="1"/>
        <d v="2025-07-22T00:18:25" u="1"/>
        <d v="2025-07-22T00:20:20" u="1"/>
        <d v="2025-07-22T00:23:26" u="1"/>
        <d v="2025-07-22T00:35:59" u="1"/>
        <d v="2025-07-22T01:10:51" u="1"/>
        <d v="2025-07-22T01:23:02" u="1"/>
        <d v="2025-07-22T01:38:31" u="1"/>
        <d v="2025-07-22T01:58:01" u="1"/>
        <d v="2025-07-22T02:29:17" u="1"/>
        <d v="2025-07-22T05:49:37" u="1"/>
        <d v="2025-07-22T06:39:18" u="1"/>
        <d v="2025-07-22T06:59:13" u="1"/>
        <d v="2025-07-22T07:04:04" u="1"/>
        <d v="2025-07-22T08:27:25" u="1"/>
        <d v="2025-07-22T08:38:45" u="1"/>
        <d v="2025-07-22T09:05:29" u="1"/>
        <d v="2025-07-22T13:55:19" u="1"/>
        <d v="2025-07-22T14:40:56" u="1"/>
        <d v="2025-07-22T14:46:29" u="1"/>
        <d v="2025-07-22T14:48:59" u="1"/>
        <d v="2025-07-22T14:52:17" u="1"/>
        <d v="2025-07-22T14:54:02" u="1"/>
        <d v="2025-07-22T14:56:38" u="1"/>
        <d v="2025-07-22T15:01:14" u="1"/>
        <d v="2025-07-22T15:02:05" u="1"/>
        <d v="2025-07-22T15:25:33" u="1"/>
        <d v="2025-07-22T15:27:15" u="1"/>
        <d v="2025-07-22T15:31:27" u="1"/>
        <d v="2025-07-22T15:45:15" u="1"/>
        <d v="2025-07-22T16:10:46" u="1"/>
        <d v="2025-07-22T16:15:38" u="1"/>
        <d v="2025-07-22T16:20:32" u="1"/>
        <d v="2025-07-22T16:31:53" u="1"/>
        <d v="2025-07-22T16:36:14" u="1"/>
        <d v="2025-07-22T16:42:17" u="1"/>
        <d v="2025-07-22T16:49:35" u="1"/>
        <d v="2025-07-22T16:56:58" u="1"/>
        <d v="2025-07-22T17:16:30" u="1"/>
        <d v="2025-07-22T17:16:38" u="1"/>
        <d v="2025-07-22T17:30:58" u="1"/>
        <d v="2025-07-22T17:33:04" u="1"/>
        <d v="2025-07-22T17:35:23" u="1"/>
        <d v="2025-07-22T17:36:02" u="1"/>
        <d v="2025-07-22T17:39:45" u="1"/>
        <d v="2025-07-22T17:40:12" u="1"/>
        <d v="2025-07-22T17:42:21" u="1"/>
        <d v="2025-07-22T18:04:57" u="1"/>
        <d v="2025-07-22T18:07:37" u="1"/>
        <d v="2025-07-22T18:52:16" u="1"/>
        <d v="2025-07-22T18:53:14" u="1"/>
        <d v="2025-07-22T19:00:07" u="1"/>
        <d v="2025-07-22T19:00:31" u="1"/>
        <d v="2025-07-22T19:04:20" u="1"/>
        <d v="2025-07-22T19:06:29" u="1"/>
        <d v="2025-07-22T19:07:21" u="1"/>
        <d v="2025-07-22T19:09:35" u="1"/>
        <d v="2025-07-22T19:30:46" u="1"/>
        <d v="2025-07-22T19:33:13" u="1"/>
        <d v="2025-07-22T19:34:07" u="1"/>
        <d v="2025-07-22T19:34:41" u="1"/>
        <d v="2025-07-22T19:49:29" u="1"/>
        <d v="2025-07-22T20:00:22" u="1"/>
        <d v="2025-07-22T20:55:22" u="1"/>
        <d v="2025-07-22T20:56:12" u="1"/>
        <d v="2025-07-22T21:37:48" u="1"/>
        <d v="2025-07-22T21:41:47" u="1"/>
        <d v="2025-07-22T21:45:41" u="1"/>
        <d v="2025-07-22T22:31:21" u="1"/>
        <d v="2025-07-22T22:31:40" u="1"/>
        <d v="2025-07-22T22:41:38" u="1"/>
        <d v="2025-07-22T22:47:45" u="1"/>
        <d v="2025-07-22T23:00:56" u="1"/>
        <d v="2025-07-22T23:05:01" u="1"/>
        <d v="2025-07-22T23:09:47" u="1"/>
        <d v="2025-07-22T23:16:07" u="1"/>
        <d v="2025-07-22T23:26:15" u="1"/>
        <d v="2025-07-22T23:29:56" u="1"/>
        <d v="2025-07-22T23:34:25" u="1"/>
        <d v="2025-07-23T00:32:42" u="1"/>
        <d v="2025-07-23T01:09:21" u="1"/>
        <d v="2025-07-23T02:19:27" u="1"/>
        <d v="2025-07-23T02:51:28" u="1"/>
        <d v="2025-07-23T04:07:09" u="1"/>
        <d v="2025-07-23T04:20:52" u="1"/>
        <d v="2025-07-23T04:41:34" u="1"/>
        <d v="2025-07-23T05:14:45" u="1"/>
        <d v="2025-07-23T06:24:01" u="1"/>
        <d v="2025-07-23T06:51:30" u="1"/>
        <d v="2025-07-23T10:01:08" u="1"/>
        <d v="2025-07-23T10:07:15" u="1"/>
        <d v="2025-07-23T10:30:16" u="1"/>
        <d v="2025-07-23T11:16:53" u="1"/>
        <d v="2025-07-23T14:49:08" u="1"/>
        <d v="2025-07-23T14:58:40" u="1"/>
        <d v="2025-07-23T15:01:07" u="1"/>
        <d v="2025-07-23T15:05:08" u="1"/>
        <d v="2025-07-23T15:06:14" u="1"/>
        <d v="2025-07-23T15:11:28" u="1"/>
        <d v="2025-07-23T15:12:07" u="1"/>
        <d v="2025-07-23T15:14:18" u="1"/>
        <d v="2025-07-23T15:33:15" u="1"/>
        <d v="2025-07-23T15:36:43" u="1"/>
        <d v="2025-07-23T15:44:55" u="1"/>
        <d v="2025-07-23T16:14:11" u="1"/>
        <d v="2025-07-23T16:17:25" u="1"/>
        <d v="2025-07-23T16:31:28" u="1"/>
        <d v="2025-07-23T16:42:13" u="1"/>
        <d v="2025-07-23T16:48:36" u="1"/>
        <d v="2025-07-23T16:49:02" u="1"/>
        <d v="2025-07-23T16:49:30" u="1"/>
        <d v="2025-07-23T16:53:11" u="1"/>
        <d v="2025-07-23T17:03:02" u="1"/>
        <d v="2025-07-23T17:30:33" u="1"/>
        <d v="2025-07-23T17:31:05" u="1"/>
        <d v="2025-07-23T17:52:26" u="1"/>
        <d v="2025-07-23T17:55:45" u="1"/>
        <d v="2025-07-23T17:56:28" u="1"/>
        <d v="2025-07-23T17:58:16" u="1"/>
        <d v="2025-07-23T17:58:55" u="1"/>
        <d v="2025-07-23T18:05:04" u="1"/>
        <d v="2025-07-23T18:06:18" u="1"/>
        <d v="2025-07-23T18:18:30" u="1"/>
        <d v="2025-07-23T18:34:04" u="1"/>
        <d v="2025-07-23T18:47:02" u="1"/>
        <d v="2025-07-23T19:13:52" u="1"/>
        <d v="2025-07-23T19:17:44" u="1"/>
        <d v="2025-07-23T19:20:42" u="1"/>
        <d v="2025-07-23T19:22:05" u="1"/>
        <d v="2025-07-23T19:27:30" u="1"/>
        <d v="2025-07-23T20:14:00" u="1"/>
        <d v="2025-07-23T20:19:16" u="1"/>
        <d v="2025-07-23T20:31:42" u="1"/>
        <d v="2025-07-23T20:32:10" u="1"/>
        <d v="2025-07-23T21:05:07" u="1"/>
        <d v="2025-07-23T21:09:13" u="1"/>
        <d v="2025-07-23T21:24:44" u="1"/>
        <d v="2025-07-23T21:26:36" u="1"/>
        <d v="2025-07-23T21:29:58" u="1"/>
        <d v="2025-07-23T21:55:16" u="1"/>
        <d v="2025-07-23T22:03:32" u="1"/>
        <d v="2025-07-23T22:35:57" u="1"/>
        <d v="2025-07-23T22:42:22" u="1"/>
        <d v="2025-07-23T22:54:38" u="1"/>
        <d v="2025-07-23T22:57:14" u="1"/>
        <d v="2025-07-23T23:03:23" u="1"/>
        <d v="2025-07-23T23:12:38" u="1"/>
        <d v="2025-07-24T00:02:49" u="1"/>
        <d v="2025-07-24T00:15:26" u="1"/>
        <d v="2025-07-24T00:56:59" u="1"/>
        <d v="2025-07-24T01:27:28" u="1"/>
        <d v="2025-07-24T03:51:02" u="1"/>
        <d v="2025-07-24T03:57:14" u="1"/>
        <d v="2025-07-24T04:06:20" u="1"/>
        <d v="2025-07-24T04:20:36" u="1"/>
        <d v="2025-07-24T04:26:42" u="1"/>
        <d v="2025-07-24T07:17:13" u="1"/>
        <d v="2025-07-24T08:31:00" u="1"/>
        <d v="2025-07-24T09:48:06" u="1"/>
        <d v="2025-07-24T09:50:13" u="1"/>
        <d v="2025-07-24T10:00:14" u="1"/>
        <d v="2025-07-24T13:20:49" u="1"/>
        <d v="2025-07-24T13:41:28" u="1"/>
        <d v="2025-07-24T13:41:58" u="1"/>
        <d v="2025-07-24T13:59:17" u="1"/>
        <d v="2025-07-24T14:42:54" u="1"/>
        <d v="2025-07-24T14:50:59" u="1"/>
        <d v="2025-07-24T15:01:22" u="1"/>
        <d v="2025-07-24T15:04:19" u="1"/>
        <d v="2025-07-24T15:38:22" u="1"/>
        <d v="2025-07-24T15:59:43" u="1"/>
        <d v="2025-07-24T16:02:25" u="1"/>
        <d v="2025-07-24T16:10:31" u="1"/>
        <d v="2025-07-24T16:41:51" u="1"/>
        <d v="2025-07-24T18:22:46" u="1"/>
        <d v="2025-07-24T19:25:24" u="1"/>
        <d v="2025-07-24T20:13:50" u="1"/>
        <d v="2025-07-24T20:15:45" u="1"/>
        <d v="2025-07-24T20:39:24" u="1"/>
        <d v="2025-07-24T20:59:47" u="1"/>
        <d v="2025-07-24T21:00:39" u="1"/>
        <d v="2025-07-24T21:07:52" u="1"/>
        <d v="2025-07-24T21:39:25" u="1"/>
        <d v="2025-07-24T22:49:03" u="1"/>
        <d v="2025-07-24T22:49:50" u="1"/>
        <d v="2025-07-24T23:05:22" u="1"/>
        <d v="2025-07-24T23:43:37" u="1"/>
        <d v="2025-07-25T00:19:47" u="1"/>
        <d v="2025-07-25T01:14:17" u="1"/>
        <d v="2025-07-25T02:18:02" u="1"/>
        <d v="2025-07-25T04:38:26" u="1"/>
        <d v="2025-07-25T04:47:17" u="1"/>
        <d v="2025-07-25T05:01:14" u="1"/>
        <d v="2025-07-25T05:05:36" u="1"/>
        <d v="2025-07-25T06:02:36" u="1"/>
        <d v="2025-07-25T06:12:21" u="1"/>
        <d v="2025-07-25T06:42:56" u="1"/>
        <d v="2025-07-25T10:22:04" u="1"/>
        <d v="2025-07-25T13:15:50" u="1"/>
        <d v="2025-07-25T14:00:10" u="1"/>
        <d v="2025-07-25T14:02:05" u="1"/>
        <d v="2025-07-25T16:04:54" u="1"/>
        <d v="2025-07-25T16:43:20" u="1"/>
        <d v="2025-07-25T17:16:10" u="1"/>
        <d v="2025-07-25T18:15:02" u="1"/>
        <d v="2025-07-25T20:10:31" u="1"/>
        <d v="2025-07-25T21:05:18" u="1"/>
        <d v="2025-07-25T21:53:26" u="1"/>
        <d v="2025-07-25T22:00:09" u="1"/>
        <d v="2025-07-25T22:18:47" u="1"/>
        <d v="2025-07-25T23:46:52" u="1"/>
        <d v="2025-07-26T00:23:43" u="1"/>
        <d v="2025-07-26T00:51:10" u="1"/>
        <d v="2025-07-26T07:51:29" u="1"/>
        <d v="2025-07-26T11:41:16" u="1"/>
        <d v="2025-07-26T11:47:45" u="1"/>
        <d v="2025-07-26T12:52:31" u="1"/>
        <d v="2025-07-26T13:04:19" u="1"/>
        <d v="2025-07-26T13:50:55" u="1"/>
        <d v="2025-07-26T15:13:36" u="1"/>
        <d v="2025-07-26T15:53:00" u="1"/>
        <d v="2025-07-26T16:19:09" u="1"/>
        <d v="2025-07-26T16:44:07" u="1"/>
        <d v="2025-07-26T17:10:59" u="1"/>
        <d v="2025-07-26T20:25:06" u="1"/>
        <d v="2025-07-26T20:30:51" u="1"/>
        <d v="2025-07-26T20:38:55" u="1"/>
        <d v="2025-07-26T22:25:25" u="1"/>
        <d v="2025-07-27T02:06:20" u="1"/>
        <d v="2025-07-27T02:10:32" u="1"/>
        <d v="2025-07-27T02:27:17" u="1"/>
        <d v="2025-07-27T03:23:01" u="1"/>
        <d v="2025-07-27T03:37:51" u="1"/>
        <d v="2025-07-27T03:49:08" u="1"/>
        <d v="2025-07-27T03:51:00" u="1"/>
        <d v="2025-07-27T04:12:50" u="1"/>
        <d v="2025-07-27T04:17:02" u="1"/>
        <d v="2025-07-27T04:26:36" u="1"/>
        <d v="2025-07-27T04:26:51" u="1"/>
        <d v="2025-07-27T04:30:54" u="1"/>
        <d v="2025-07-27T04:33:59" u="1"/>
        <d v="2025-07-27T05:01:48" u="1"/>
        <d v="2025-07-27T06:22:01" u="1"/>
        <d v="2025-07-27T06:29:53" u="1"/>
        <d v="2025-07-27T06:43:07" u="1"/>
        <d v="2025-07-27T11:21:43" u="1"/>
        <d v="2025-07-27T15:16:56" u="1"/>
        <d v="2025-07-27T15:36:12" u="1"/>
        <d v="2025-07-27T16:17:43" u="1"/>
        <d v="2025-07-27T16:29:54" u="1"/>
        <d v="2025-07-27T16:32:16" u="1"/>
        <d v="2025-07-27T23:41:11" u="1"/>
        <d v="2025-07-28T02:21:34" u="1"/>
        <d v="2025-07-28T02:32:40" u="1"/>
        <d v="2025-07-28T02:34:39" u="1"/>
        <d v="2025-07-28T03:00:04" u="1"/>
        <d v="2025-07-28T05:01:33" u="1"/>
        <d v="2025-07-28T13:38:12" u="1"/>
        <d v="2025-07-28T14:22:02" u="1"/>
        <d v="2025-07-28T14:22:12" u="1"/>
        <d v="2025-07-28T15:36:32" u="1"/>
        <d v="2025-07-28T15:44:12" u="1"/>
        <d v="2025-07-28T15:46:00" u="1"/>
        <d v="2025-07-28T17:55:21" u="1"/>
        <d v="2025-07-28T19:00:48" u="1"/>
        <d v="2025-07-28T20:17:27" u="1"/>
        <d v="2025-07-28T20:23:34" u="1"/>
        <d v="2025-07-28T21:28:11" u="1"/>
        <d v="2025-07-28T21:28:52" u="1"/>
        <d v="2025-07-28T22:39:30" u="1"/>
        <d v="2025-07-28T22:43:43" u="1"/>
        <d v="2025-07-28T23:00:34" u="1"/>
        <d v="2025-07-28T23:25:10" u="1"/>
        <d v="2025-07-29T00:28:51" u="1"/>
        <d v="2025-07-29T00:43:03" u="1"/>
        <d v="2025-07-29T00:47:08" u="1"/>
        <d v="2025-07-29T09:17:23" u="1"/>
        <d v="2025-07-29T14:39:55" u="1"/>
        <d v="2025-07-29T14:41:49" u="1"/>
        <d v="2025-07-29T14:49:44" u="1"/>
        <d v="2025-07-29T16:01:39" u="1"/>
        <d v="2025-07-29T16:04:37" u="1"/>
        <d v="2025-07-29T16:14:45" u="1"/>
        <d v="2025-07-29T16:21:51" u="1"/>
        <d v="2025-07-29T17:18:00" u="1"/>
        <d v="2025-07-29T17:26:08" u="1"/>
        <d v="2025-07-29T18:48:09" u="1"/>
        <d v="2025-07-29T18:49:03" u="1"/>
        <d v="2025-07-29T19:19:28" u="1"/>
        <d v="2025-07-29T19:34:15" u="1"/>
        <d v="2025-07-29T19:58:00" u="1"/>
        <d v="2025-07-29T20:34:04" u="1"/>
        <d v="2025-07-29T20:35:40" u="1"/>
        <d v="2025-07-29T21:54:27" u="1"/>
        <d v="2025-07-29T22:00:29" u="1"/>
        <d v="2025-07-29T22:06:36" u="1"/>
        <d v="2025-07-30T00:06:17" u="1"/>
        <d v="2025-07-30T01:12:13" u="1"/>
        <d v="2025-07-30T02:08:25" u="1"/>
        <d v="2025-07-30T04:24:24" u="1"/>
        <d v="2025-07-30T06:32:37" u="1"/>
        <d v="2025-07-30T06:37:02" u="1"/>
        <d v="2025-07-30T07:08:41" u="1"/>
        <d v="2025-07-30T07:17:42" u="1"/>
        <d v="2025-07-30T12:51:37" u="1"/>
        <d v="2025-07-30T14:19:26" u="1"/>
        <d v="2025-07-30T15:15:22" u="1"/>
        <d v="2025-07-30T15:16:26" u="1"/>
        <d v="2025-07-30T15:51:25" u="1"/>
        <d v="2025-07-30T15:56:58" u="1"/>
        <d v="2025-07-30T16:15:31" u="1"/>
        <d v="2025-07-30T16:47:32" u="1"/>
        <d v="2025-07-30T16:59:18" u="1"/>
        <d v="2025-07-30T17:01:04" u="1"/>
        <d v="2025-07-30T18:56:24" u="1"/>
        <d v="2025-07-30T19:21:01" u="1"/>
        <d v="2025-07-30T19:55:00" u="1"/>
        <d v="2025-07-30T20:03:01" u="1"/>
        <d v="2025-07-30T20:13:12" u="1"/>
        <d v="2025-07-30T20:20:51" u="1"/>
        <d v="2025-07-30T20:22:10" u="1"/>
        <d v="2025-07-30T20:23:10" u="1"/>
        <d v="2025-07-30T20:36:17" u="1"/>
        <d v="2025-07-30T20:36:36" u="1"/>
        <d v="2025-07-30T20:41:32" u="1"/>
        <d v="2025-07-30T20:51:15" u="1"/>
        <d v="2025-07-30T21:09:05" u="1"/>
        <d v="2025-07-30T21:37:13" u="1"/>
        <d v="2025-07-30T21:45:21" u="1"/>
        <d v="2025-07-30T21:58:27" u="1"/>
        <d v="2025-07-30T22:00:32" u="1"/>
        <d v="2025-07-30T23:09:55" u="1"/>
        <d v="2025-07-30T23:11:21" u="1"/>
        <d v="2025-07-31T00:05:38" u="1"/>
        <d v="2025-07-31T01:42:01" u="1"/>
        <d v="2025-07-31T02:14:19" u="1"/>
        <d v="2025-07-31T02:17:15" u="1"/>
        <d v="2025-07-31T04:37:32" u="1"/>
        <d v="2025-07-31T05:26:26" u="1"/>
        <d v="2025-07-31T05:55:27" u="1"/>
        <d v="2025-07-31T06:15:41" u="1"/>
        <d v="2025-07-31T06:38:01" u="1"/>
        <d v="2025-07-31T06:52:28" u="1"/>
        <d v="2025-07-31T08:12:35" u="1"/>
        <d v="2025-07-31T09:26:37" u="1"/>
        <d v="2025-07-31T10:10:17" u="1"/>
        <d v="2025-07-31T10:20:37" u="1"/>
        <d v="2025-07-31T11:18:38" u="1"/>
        <d v="2025-07-31T13:43:51" u="1"/>
        <d v="2025-07-31T14:00:08" u="1"/>
        <d v="2025-07-31T14:03:49" u="1"/>
        <d v="2025-07-31T14:57:48" u="1"/>
        <d v="2025-07-31T15:02:02" u="1"/>
        <d v="2025-07-31T15:40:41" u="1"/>
        <d v="2025-07-31T16:19:35" u="1"/>
        <d v="2025-07-31T16:24:56" u="1"/>
        <d v="2025-07-31T16:41:20" u="1"/>
        <d v="2025-07-31T16:42:19" u="1"/>
        <d v="2025-07-31T17:38:34" u="1"/>
        <d v="2025-07-31T18:06:52" u="1"/>
        <d v="2025-07-31T18:09:36" u="1"/>
        <d v="2025-07-31T18:19:37" u="1"/>
        <d v="2025-07-31T18:30:53" u="1"/>
        <d v="2025-07-31T18:31:17" u="1"/>
        <d v="2025-07-31T18:34:03" u="1"/>
        <d v="2025-07-31T18:38:57" u="1"/>
        <d v="2025-07-31T18:44:23" u="1"/>
        <d v="2025-07-31T18:45:48" u="1"/>
        <d v="2025-07-31T19:07:21" u="1"/>
        <d v="2025-07-31T19:19:26" u="1"/>
        <d v="2025-07-31T19:29:27" u="1"/>
        <d v="2025-07-31T19:43:11" u="1"/>
        <d v="2025-07-31T19:45:23" u="1"/>
        <d v="2025-07-31T20:00:31" u="1"/>
        <d v="2025-07-31T20:31:29" u="1"/>
        <d v="2025-07-31T20:31:35" u="1"/>
        <d v="2025-07-31T20:51:06" u="1"/>
        <d v="2025-07-31T20:53:39" u="1"/>
        <d v="2025-07-31T21:36:19" u="1"/>
        <d v="2025-07-31T22:05:49" u="1"/>
        <d v="2025-07-31T22:19:40" u="1"/>
        <d v="2025-07-31T23:04:54" u="1"/>
        <d v="2025-07-31T23:25:58" u="1"/>
        <d v="2025-07-31T23:29:23" u="1"/>
        <d v="2025-07-31T23:29:24" u="1"/>
        <d v="2025-07-31T23:29:54" u="1"/>
        <d v="2025-07-31T23:33:26" u="1"/>
        <d v="2025-08-01T00:21:17" u="1"/>
        <d v="2025-08-01T00:43:44" u="1"/>
        <d v="2025-08-01T02:58:38" u="1"/>
        <d v="2025-08-01T03:17:23" u="1"/>
        <d v="2025-08-01T03:32:16" u="1"/>
        <d v="2025-08-01T04:10:27" u="1"/>
        <d v="2025-08-01T04:11:26" u="1"/>
        <d v="2025-08-01T04:27:27" u="1"/>
        <d v="2025-08-01T04:27:28" u="1"/>
        <d v="2025-08-01T04:27:48" u="1"/>
        <d v="2025-08-01T04:29:11" u="1"/>
        <d v="2025-08-01T04:39:40" u="1"/>
        <d v="2025-08-01T04:55:24" u="1"/>
        <d v="2025-08-01T04:55:53" u="1"/>
        <d v="2025-08-01T04:56:02" u="1"/>
        <d v="2025-08-01T04:58:47" u="1"/>
        <d v="2025-08-01T04:58:57" u="1"/>
        <d v="2025-08-01T05:00:52" u="1"/>
        <d v="2025-08-01T05:01:12" u="1"/>
        <d v="2025-08-01T05:01:36" u="1"/>
        <d v="2025-08-01T05:02:53" u="1"/>
        <d v="2025-08-01T05:07:47" u="1"/>
        <d v="2025-08-01T05:13:41" u="1"/>
        <d v="2025-08-01T05:46:42" u="1"/>
        <d v="2025-08-01T06:01:39" u="1"/>
        <d v="2025-08-01T06:04:52" u="1"/>
        <d v="2025-08-01T06:07:33" u="1"/>
        <d v="2025-08-01T06:15:38" u="1"/>
        <d v="2025-08-01T06:19:23" u="1"/>
        <d v="2025-08-01T06:29:33" u="1"/>
        <d v="2025-08-01T07:02:36" u="1"/>
        <d v="2025-08-01T07:13:52" u="1"/>
        <d v="2025-08-01T09:08:39" u="1"/>
        <d v="2025-08-01T09:21:32" u="1"/>
        <d v="2025-08-01T11:56:54" u="1"/>
        <d v="2025-08-01T12:09:00" u="1"/>
        <d v="2025-08-01T12:10:58" u="1"/>
        <d v="2025-08-01T12:13:26" u="1"/>
        <d v="2025-08-01T12:17:58" u="1"/>
        <d v="2025-08-01T12:18:43" u="1"/>
        <d v="2025-08-01T13:05:49" u="1"/>
        <d v="2025-08-01T13:07:42" u="1"/>
        <d v="2025-08-01T13:22:47" u="1"/>
        <d v="2025-08-01T13:58:49" u="1"/>
        <d v="2025-08-01T14:06:12" u="1"/>
        <d v="2025-08-01T14:42:22" u="1"/>
        <d v="2025-08-01T14:44:09" u="1"/>
        <d v="2025-08-01T14:45:31" u="1"/>
        <d v="2025-08-01T15:14:25" u="1"/>
        <d v="2025-08-01T15:47:12" u="1"/>
        <d v="2025-08-01T16:29:22" u="1"/>
        <d v="2025-08-01T16:31:07" u="1"/>
        <d v="2025-08-01T16:31:37" u="1"/>
        <d v="2025-08-01T16:33:09" u="1"/>
        <d v="2025-08-01T16:36:04" u="1"/>
        <d v="2025-08-01T16:39:25" u="1"/>
        <d v="2025-08-01T16:43:05" u="1"/>
        <d v="2025-08-01T17:32:17" u="1"/>
        <d v="2025-08-01T17:42:36" u="1"/>
        <d v="2025-08-01T17:57:05" u="1"/>
        <d v="2025-08-01T18:07:18" u="1"/>
        <d v="2025-08-01T18:14:34" u="1"/>
        <d v="2025-08-01T18:24:02" u="1"/>
        <d v="2025-08-01T18:36:56" u="1"/>
        <d v="2025-08-01T18:57:36" u="1"/>
        <d v="2025-08-01T19:15:39" u="1"/>
        <d v="2025-08-01T19:15:47" u="1"/>
        <d v="2025-08-01T19:27:43" u="1"/>
        <d v="2025-08-01T20:28:36" u="1"/>
        <d v="2025-08-01T20:35:35" u="1"/>
        <d v="2025-08-01T20:38:53" u="1"/>
        <d v="2025-08-01T20:43:04" u="1"/>
        <d v="2025-08-01T20:50:56" u="1"/>
        <d v="2025-08-01T21:01:47" u="1"/>
        <d v="2025-08-01T21:59:44" u="1"/>
        <d v="2025-08-01T21:59:47" u="1"/>
        <d v="2025-08-01T22:06:35" u="1"/>
        <d v="2025-08-01T23:15:38" u="1"/>
        <d v="2025-08-01T23:22:08" u="1"/>
        <d v="2025-08-01T23:33:51" u="1"/>
        <d v="2025-08-02T00:05:27" u="1"/>
        <d v="2025-08-02T00:19:51" u="1"/>
        <d v="2025-08-02T00:20:04" u="1"/>
        <d v="2025-08-02T00:21:29" u="1"/>
        <d v="2025-08-02T00:21:59" u="1"/>
        <d v="2025-08-02T00:43:27" u="1"/>
        <d v="2025-08-02T01:07:11" u="1"/>
        <d v="2025-08-02T01:20:41" u="1"/>
        <d v="2025-08-02T01:30:44" u="1"/>
        <d v="2025-08-02T01:41:16" u="1"/>
        <d v="2025-08-02T01:44:19" u="1"/>
        <d v="2025-08-02T02:56:56" u="1"/>
        <d v="2025-08-02T03:01:07" u="1"/>
        <d v="2025-08-02T03:04:09" u="1"/>
        <d v="2025-08-02T03:07:00" u="1"/>
        <d v="2025-08-02T03:09:40" u="1"/>
        <d v="2025-08-02T03:52:19" u="1"/>
        <d v="2025-08-02T04:18:33" u="1"/>
        <d v="2025-08-02T04:51:55" u="1"/>
        <d v="2025-08-02T06:01:48" u="1"/>
        <d v="2025-08-02T06:56:36" u="1"/>
        <d v="2025-08-02T13:05:03" u="1"/>
        <d v="2025-08-02T13:20:02" u="1"/>
        <d v="2025-08-02T13:20:26" u="1"/>
        <d v="2025-08-02T13:20:35" u="1"/>
        <d v="2025-08-02T13:20:37" u="1"/>
        <d v="2025-08-02T13:24:43" u="1"/>
        <d v="2025-08-02T13:42:25" u="1"/>
        <d v="2025-08-02T13:43:51" u="1"/>
        <d v="2025-08-02T13:44:50" u="1"/>
        <d v="2025-08-02T14:10:38" u="1"/>
        <d v="2025-08-02T14:28:49" u="1"/>
        <d v="2025-08-02T14:35:37" u="1"/>
        <d v="2025-08-02T14:41:43" u="1"/>
        <d v="2025-08-02T15:18:20" u="1"/>
        <d v="2025-08-02T16:10:04" u="1"/>
        <d v="2025-08-02T16:19:48" u="1"/>
        <d v="2025-08-02T16:22:45" u="1"/>
        <d v="2025-08-02T17:42:18" u="1"/>
        <d v="2025-08-02T19:55:27" u="1"/>
        <d v="2025-08-02T20:03:09" u="1"/>
        <d v="2025-08-02T21:18:48" u="1"/>
        <d v="2025-08-02T21:34:50" u="1"/>
        <d v="2025-08-02T21:36:32" u="1"/>
        <d v="2025-08-02T21:38:38" u="1"/>
        <d v="2025-08-02T22:04:09" u="1"/>
        <d v="2025-08-02T23:08:35" u="1"/>
        <d v="2025-08-03T00:09:45" u="1"/>
        <d v="2025-08-03T00:19:33" u="1"/>
        <d v="2025-08-03T00:22:11" u="1"/>
        <d v="2025-08-03T00:22:37" u="1"/>
        <d v="2025-08-03T00:33:06" u="1"/>
        <d v="2025-08-03T00:33:33" u="1"/>
        <d v="2025-08-03T01:40:42" u="1"/>
        <d v="2025-08-03T02:22:46" u="1"/>
        <d v="2025-08-03T02:37:10" u="1"/>
        <d v="2025-08-03T02:47:22" u="1"/>
        <d v="2025-08-03T02:51:24" u="1"/>
        <d v="2025-08-03T02:53:05" u="1"/>
        <d v="2025-08-03T03:01:58" u="1"/>
        <d v="2025-08-03T03:32:24" u="1"/>
        <d v="2025-08-03T03:38:52" u="1"/>
        <d v="2025-08-03T03:52:43" u="1"/>
        <d v="2025-08-03T04:40:45" u="1"/>
        <d v="2025-08-03T05:16:02" u="1"/>
        <d v="2025-08-03T05:16:09" u="1"/>
        <d v="2025-08-03T05:41:42" u="1"/>
        <d v="2025-08-03T06:15:29" u="1"/>
        <d v="2025-08-03T06:29:05" u="1"/>
        <d v="2025-08-03T06:50:57" u="1"/>
        <d v="2025-08-03T07:06:45" u="1"/>
        <d v="2025-08-03T08:54:17" u="1"/>
        <d v="2025-08-03T09:03:13" u="1"/>
        <d v="2025-08-03T09:11:17" u="1"/>
        <d v="2025-08-03T10:30:27" u="1"/>
        <d v="2025-08-03T11:42:55" u="1"/>
        <d v="2025-08-03T13:43:25" u="1"/>
        <d v="2025-08-03T14:08:25" u="1"/>
        <d v="2025-08-03T16:15:59" u="1"/>
        <d v="2025-08-03T16:24:38" u="1"/>
        <d v="2025-08-03T16:41:06" u="1"/>
        <d v="2025-08-03T18:35:10" u="1"/>
        <d v="2025-08-03T18:48:28" u="1"/>
        <d v="2025-08-03T19:34:20" u="1"/>
        <d v="2025-08-03T19:55:01" u="1"/>
        <d v="2025-08-03T20:51:26" u="1"/>
        <d v="2025-08-03T20:53:40" u="1"/>
        <d v="2025-08-04T01:24:37" u="1"/>
        <d v="2025-08-04T01:57:38" u="1"/>
        <d v="2025-08-04T02:11:31" u="1"/>
        <d v="2025-08-04T04:45:22" u="1"/>
        <d v="2025-08-04T04:49:10" u="1"/>
        <d v="2025-08-04T04:53:38" u="1"/>
        <d v="2025-08-04T05:07:36" u="1"/>
        <d v="2025-08-04T05:08:19" u="1"/>
        <d v="2025-08-04T06:54:22" u="1"/>
        <d v="2025-08-04T06:55:29" u="1"/>
        <d v="2025-08-04T07:00:06" u="1"/>
        <d v="2025-08-04T08:03:58" u="1"/>
        <d v="2025-08-04T10:25:30" u="1"/>
        <d v="2025-08-04T10:27:41" u="1"/>
        <d v="2025-08-04T11:34:30" u="1"/>
        <d v="2025-08-04T12:07:50" u="1"/>
        <d v="2025-08-04T13:55:24" u="1"/>
        <d v="2025-08-04T13:56:31" u="1"/>
        <d v="2025-08-04T14:01:31" u="1"/>
        <d v="2025-08-04T16:00:42" u="1"/>
        <d v="2025-08-04T16:24:51" u="1"/>
        <d v="2025-08-04T16:49:16" u="1"/>
        <d v="2025-08-04T17:10:56" u="1"/>
        <d v="2025-08-04T17:18:17" u="1"/>
        <d v="2025-08-04T17:26:34" u="1"/>
        <d v="2025-08-04T18:00:22" u="1"/>
        <d v="2025-08-04T18:20:09" u="1"/>
        <d v="2025-08-04T19:28:34" u="1"/>
        <d v="2025-08-04T20:28:13" u="1"/>
        <d v="2025-08-04T21:19:52" u="1"/>
        <d v="2025-08-04T21:32:29" u="1"/>
        <d v="2025-08-04T22:12:29" u="1"/>
        <d v="2025-08-04T22:18:37" u="1"/>
        <d v="2025-08-04T22:37:34" u="1"/>
        <d v="2025-08-04T22:45:32" u="1"/>
        <d v="2025-08-04T22:50:53" u="1"/>
        <d v="2025-08-04T23:18:55" u="1"/>
        <d v="2025-08-04T23:18:57" u="1"/>
        <d v="2025-08-05T00:08:16" u="1"/>
        <d v="2025-08-05T00:16:58" u="1"/>
        <d v="2025-08-05T00:30:04" u="1"/>
        <d v="2025-08-05T01:16:24" u="1"/>
        <d v="2025-08-05T02:01:59" u="1"/>
        <d v="2025-08-05T04:46:25" u="1"/>
        <d v="2025-08-05T05:36:33" u="1"/>
        <d v="2025-08-05T16:01:05" u="1"/>
        <d v="2025-08-05T16:44:24" u="1"/>
        <d v="2025-08-05T17:01:13" u="1"/>
        <d v="2025-08-05T17:05:30" u="1"/>
        <d v="2025-08-05T17:43:49" u="1"/>
        <d v="2025-08-05T17:54:50" u="1"/>
        <d v="2025-08-05T17:57:13" u="1"/>
        <d v="2025-08-05T18:01:24" u="1"/>
        <d v="2025-08-05T18:04:26" u="1"/>
        <d v="2025-08-05T18:11:13" u="1"/>
        <d v="2025-08-05T18:36:52" u="1"/>
        <d v="2025-08-05T18:58:08" u="1"/>
        <d v="2025-08-05T19:38:57" u="1"/>
        <d v="2025-08-05T19:55:38" u="1"/>
        <d v="2025-08-05T20:23:15" u="1"/>
        <d v="2025-08-05T20:57:19" u="1"/>
        <d v="2025-08-05T21:03:27" u="1"/>
        <d v="2025-08-05T21:05:34" u="1"/>
        <d v="2025-08-05T21:37:38" u="1"/>
        <d v="2025-08-05T21:38:33" u="1"/>
        <d v="2025-08-05T21:45:47" u="1"/>
        <d v="2025-08-05T22:16:26" u="1"/>
        <d v="2025-08-05T22:42:08" u="1"/>
        <d v="2025-08-05T22:52:46" u="1"/>
        <d v="2025-08-05T23:01:12" u="1"/>
        <d v="2025-08-05T23:09:51" u="1"/>
        <d v="2025-08-05T23:59:43" u="1"/>
        <d v="2025-08-06T00:03:40" u="1"/>
        <d v="2025-08-06T01:10:33" u="1"/>
        <d v="2025-08-06T02:38:50" u="1"/>
        <d v="2025-08-06T05:16:22" u="1"/>
        <d v="2025-08-06T05:20:03" u="1"/>
        <d v="2025-08-06T06:06:45" u="1"/>
        <d v="2025-08-06T06:10:40" u="1"/>
        <d v="2025-08-06T07:08:16" u="1"/>
        <d v="2025-08-06T08:14:00" u="1"/>
        <d v="2025-08-06T09:16:42" u="1"/>
        <d v="2025-08-06T13:17:04" u="1"/>
        <d v="2025-08-06T13:48:00" u="1"/>
        <d v="2025-08-06T14:15:42" u="1"/>
        <d v="2025-08-06T14:44:37" u="1"/>
        <d v="2025-08-06T14:47:15" u="1"/>
        <d v="2025-08-06T14:50:51" u="1"/>
        <d v="2025-08-06T15:07:04" u="1"/>
        <d v="2025-08-06T15:10:18" u="1"/>
        <d v="2025-08-06T15:47:17" u="1"/>
        <d v="2025-08-06T15:59:23" u="1"/>
        <d v="2025-08-06T16:00:57" u="1"/>
        <d v="2025-08-06T16:11:23" u="1"/>
        <d v="2025-08-06T16:21:13" u="1"/>
        <d v="2025-08-06T16:47:59" u="1"/>
        <d v="2025-08-06T17:04:58" u="1"/>
        <d v="2025-08-06T17:05:06" u="1"/>
        <d v="2025-08-06T17:08:50" u="1"/>
        <d v="2025-08-06T17:39:21" u="1"/>
        <d v="2025-08-06T17:54:21" u="1"/>
        <d v="2025-08-06T18:01:48" u="1"/>
        <d v="2025-08-06T18:22:48" u="1"/>
        <d v="2025-08-06T18:30:17" u="1"/>
        <d v="2025-08-06T18:56:31" u="1"/>
        <d v="2025-08-06T19:03:28" u="1"/>
        <d v="2025-08-06T19:06:04" u="1"/>
        <d v="2025-08-06T19:18:55" u="1"/>
        <d v="2025-08-06T19:47:29" u="1"/>
        <d v="2025-08-06T19:49:32" u="1"/>
        <d v="2025-08-06T19:55:33" u="1"/>
        <d v="2025-08-06T19:57:03" u="1"/>
        <d v="2025-08-06T20:00:04" u="1"/>
        <d v="2025-08-06T20:24:00" u="1"/>
        <d v="2025-08-06T20:36:25" u="1"/>
        <d v="2025-08-06T20:57:27" u="1"/>
        <d v="2025-08-06T21:04:53" u="1"/>
        <d v="2025-08-06T21:10:58" u="1"/>
        <d v="2025-08-06T22:19:13" u="1"/>
        <d v="2025-08-06T22:28:40" u="1"/>
        <d v="2025-08-06T22:32:56" u="1"/>
        <d v="2025-08-06T22:42:21" u="1"/>
        <d v="2025-08-06T22:57:02" u="1"/>
        <d v="2025-08-06T23:02:13" u="1"/>
        <d v="2025-08-06T23:12:33" u="1"/>
        <d v="2025-08-06T23:24:46" u="1"/>
        <d v="2025-08-06T23:37:33" u="1"/>
        <d v="2025-08-06T23:54:19" u="1"/>
        <d v="2025-08-07T01:40:43" u="1"/>
        <d v="2025-08-07T01:46:13" u="1"/>
        <d v="2025-08-07T01:51:23" u="1"/>
        <d v="2025-08-07T03:17:31" u="1"/>
        <d v="2025-08-07T04:08:41" u="1"/>
        <d v="2025-08-07T04:14:11" u="1"/>
        <d v="2025-08-07T05:02:26" u="1"/>
        <d v="2025-08-07T06:36:03" u="1"/>
        <d v="2025-08-07T07:25:12" u="1"/>
        <d v="2025-08-07T15:10:25" u="1"/>
        <d v="2025-08-07T15:31:07" u="1"/>
        <d v="2025-08-07T16:43:46" u="1"/>
        <d v="2025-08-07T17:00:49" u="1"/>
        <d v="2025-08-07T17:03:08" u="1"/>
        <d v="2025-08-07T17:05:59" u="1"/>
        <d v="2025-08-07T17:35:41" u="1"/>
        <d v="2025-08-07T17:56:18" u="1"/>
        <d v="2025-08-07T18:04:02" u="1"/>
        <d v="2025-08-07T18:15:14" u="1"/>
        <d v="2025-08-07T18:18:15" u="1"/>
        <d v="2025-08-07T19:06:36" u="1"/>
        <d v="2025-08-07T19:44:17" u="1"/>
        <d v="2025-08-07T20:02:21" u="1"/>
        <d v="2025-08-07T20:09:52" u="1"/>
        <d v="2025-08-07T21:21:43" u="1"/>
        <d v="2025-08-07T21:30:04" u="1"/>
        <d v="2025-08-07T21:31:07" u="1"/>
        <d v="2025-08-08T00:35:14" u="1"/>
        <d v="2025-08-08T02:55:10" u="1"/>
        <d v="2025-08-08T03:00:46" u="1"/>
        <d v="2025-08-08T03:55:35" u="1"/>
        <d v="2025-08-08T04:00:12" u="1"/>
        <d v="2025-08-08T04:13:13" u="1"/>
        <d v="2025-08-08T04:47:58" u="1"/>
        <d v="2025-08-08T05:20:52" u="1"/>
        <d v="2025-08-08T05:39:25" u="1"/>
        <d v="2025-08-08T06:12:53" u="1"/>
        <d v="2025-08-08T08:53:50" u="1"/>
        <d v="2025-08-08T12:51:54" u="1"/>
        <d v="2025-08-08T12:53:19" u="1"/>
        <d v="2025-08-08T14:19:12" u="1"/>
        <d v="2025-08-08T16:51:05" u="1"/>
        <d v="2025-08-08T16:55:45" u="1"/>
        <d v="2025-08-08T17:04:26" u="1"/>
        <d v="2025-08-08T18:58:59" u="1"/>
        <d v="2025-08-08T19:04:08" u="1"/>
        <d v="2025-08-08T22:56:25" u="1"/>
        <d v="2025-08-09T02:45:30" u="1"/>
        <d v="2025-08-09T02:48:46" u="1"/>
        <d v="2025-08-09T02:49:37" u="1"/>
        <d v="2025-08-09T03:42:26" u="1"/>
        <d v="2025-08-09T04:49:46" u="1"/>
        <d v="2025-08-09T05:04:49" u="1"/>
        <d v="2025-08-09T05:15:55" u="1"/>
        <d v="2025-08-09T06:51:28" u="1"/>
        <d v="2025-08-09T06:51:29" u="1"/>
        <d v="2025-08-09T06:51:46" u="1"/>
        <d v="2025-08-09T07:58:40" u="1"/>
        <d v="2025-08-09T08:19:09" u="1"/>
        <d v="2025-08-09T09:37:14" u="1"/>
        <d v="2025-08-09T13:01:34" u="1"/>
        <d v="2025-08-09T14:27:53" u="1"/>
        <d v="2025-08-09T14:57:56" u="1"/>
        <d v="2025-08-09T14:59:46" u="1"/>
        <d v="2025-08-09T17:08:08" u="1"/>
        <d v="2025-08-09T18:32:52" u="1"/>
        <d v="2025-08-09T20:57:53" u="1"/>
        <d v="2025-08-09T22:33:40" u="1"/>
        <d v="2025-08-09T23:37:58" u="1"/>
        <d v="2025-08-10T02:47:29" u="1"/>
        <d v="2025-08-10T02:47:36" u="1"/>
        <d v="2025-08-10T03:30:23" u="1"/>
        <d v="2025-08-10T06:05:13" u="1"/>
        <d v="2025-08-10T06:09:04" u="1"/>
        <d v="2025-08-10T07:55:44" u="1"/>
        <d v="2025-08-10T07:57:06" u="1"/>
        <d v="2025-08-10T11:09:30" u="1"/>
        <d v="2025-08-10T11:33:50" u="1"/>
        <d v="2025-08-10T11:55:48" u="1"/>
        <d v="2025-08-10T15:19:23" u="1"/>
        <d v="2025-08-10T16:38:11" u="1"/>
        <d v="2025-08-10T19:38:27" u="1"/>
        <d v="2025-08-10T19:45:07" u="1"/>
        <d v="2025-08-10T20:35:38" u="1"/>
        <d v="2025-08-10T20:47:16" u="1"/>
        <d v="2025-08-10T20:56:35" u="1"/>
        <d v="2025-08-10T21:02:04" u="1"/>
        <d v="2025-08-10T21:17:46" u="1"/>
        <d v="2025-08-10T22:11:07" u="1"/>
        <d v="2025-08-11T01:53:19" u="1"/>
        <d v="2025-08-11T02:49:45" u="1"/>
        <d v="2025-08-11T05:29:44" u="1"/>
        <d v="2025-08-11T06:46:33" u="1"/>
        <d v="2025-08-11T08:01:46" u="1"/>
        <d v="2025-08-11T10:45:27" u="1"/>
        <d v="2025-08-11T13:44:29" u="1"/>
        <d v="2025-08-11T16:07:54" u="1"/>
        <d v="2025-08-11T16:34:46" u="1"/>
        <d v="2025-08-11T16:43:08" u="1"/>
        <d v="2025-08-11T17:05:39" u="1"/>
        <d v="2025-08-11T17:05:54" u="1"/>
        <d v="2025-08-11T17:21:12" u="1"/>
        <d v="2025-08-11T19:12:58" u="1"/>
        <d v="2025-08-11T19:15:51" u="1"/>
        <d v="2025-08-11T19:26:56" u="1"/>
        <d v="2025-08-11T20:29:07" u="1"/>
        <d v="2025-08-11T20:49:37" u="1"/>
        <d v="2025-08-11T20:51:36" u="1"/>
        <d v="2025-08-11T20:54:04" u="1"/>
        <d v="2025-08-11T21:29:00" u="1"/>
        <d v="2025-08-11T21:30:13" u="1"/>
        <d v="2025-08-11T21:49:06" u="1"/>
        <d v="2025-08-11T22:43:05" u="1"/>
        <d v="2025-08-11T23:30:32" u="1"/>
        <d v="2025-08-11T23:40:50" u="1"/>
        <d v="2025-08-11T23:53:54" u="1"/>
        <d v="2025-08-12T00:25:19" u="1"/>
        <d v="2025-08-12T01:20:32" u="1"/>
        <d v="2025-08-12T01:46:37" u="1"/>
        <d v="2025-08-12T01:59:27" u="1"/>
        <d v="2025-08-12T01:59:48" u="1"/>
        <d v="2025-08-12T02:00:56" u="1"/>
        <d v="2025-08-12T02:01:03" u="1"/>
        <d v="2025-08-12T02:13:41" u="1"/>
        <d v="2025-08-12T02:14:22" u="1"/>
        <d v="2025-08-12T02:40:19" u="1"/>
        <d v="2025-08-12T02:40:58" u="1"/>
        <d v="2025-08-12T02:43:50" u="1"/>
        <d v="2025-08-12T02:58:18" u="1"/>
        <d v="2025-08-12T03:02:01" u="1"/>
        <d v="2025-08-12T03:04:33" u="1"/>
        <d v="2025-08-12T03:05:10" u="1"/>
        <d v="2025-08-12T03:08:12" u="1"/>
        <d v="2025-08-12T03:35:14" u="1"/>
        <d v="2025-08-12T04:13:00" u="1"/>
        <d v="2025-08-12T05:10:23" u="1"/>
        <d v="2025-08-12T05:17:18" u="1"/>
        <d v="2025-08-12T05:43:00" u="1"/>
        <d v="2025-08-12T05:43:02" u="1"/>
        <d v="2025-08-12T05:43:04" u="1"/>
        <d v="2025-08-12T05:43:16" u="1"/>
        <d v="2025-08-12T05:43:17" u="1"/>
        <d v="2025-08-12T05:43:20" u="1"/>
        <d v="2025-08-12T05:43:27" u="1"/>
        <d v="2025-08-12T05:46:19" u="1"/>
        <d v="2025-08-12T05:46:25" u="1"/>
        <d v="2025-08-12T05:46:41" u="1"/>
        <d v="2025-08-12T05:46:58" u="1"/>
        <d v="2025-08-12T05:47:12" u="1"/>
        <d v="2025-08-12T05:48:21" u="1"/>
        <d v="2025-08-12T06:02:43" u="1"/>
        <d v="2025-08-12T06:25:43" u="1"/>
        <d v="2025-08-12T06:35:46" u="1"/>
        <d v="2025-08-12T07:32:06" u="1"/>
        <d v="2025-08-12T09:25:32" u="1"/>
        <d v="2025-08-12T12:35:51" u="1"/>
        <d v="2025-08-12T14:33:48" u="1"/>
        <d v="2025-08-12T15:11:14" u="1"/>
        <d v="2025-08-12T15:55:47" u="1"/>
        <d v="2025-08-12T16:13:10" u="1"/>
        <d v="2025-08-12T16:13:35" u="1"/>
        <d v="2025-08-12T16:32:07" u="1"/>
        <d v="2025-08-12T17:30:31" u="1"/>
        <d v="2025-08-12T17:39:46" u="1"/>
        <d v="2025-08-12T18:44:30" u="1"/>
        <d v="2025-08-12T19:36:32" u="1"/>
        <d v="2025-08-12T20:04:13" u="1"/>
        <d v="2025-08-12T20:05:02" u="1"/>
        <d v="2025-08-12T20:28:14" u="1"/>
        <d v="2025-08-12T20:30:50" u="1"/>
        <d v="2025-08-12T21:25:57" u="1"/>
        <d v="2025-08-12T21:34:42" u="1"/>
        <d v="2025-08-12T21:36:29" u="1"/>
        <d v="2025-08-12T21:38:00" u="1"/>
        <d v="2025-08-12T21:38:03" u="1"/>
        <d v="2025-08-12T21:43:54" u="1"/>
        <d v="2025-08-12T22:15:09" u="1"/>
        <d v="2025-08-12T22:29:31" u="1"/>
        <d v="2025-08-12T22:35:26" u="1"/>
        <d v="2025-08-12T22:35:55" u="1"/>
        <d v="2025-08-12T23:20:14" u="1"/>
        <d v="2025-08-12T23:42:09" u="1"/>
        <d v="2025-08-12T23:42:14" u="1"/>
        <d v="2025-08-12T23:43:08" u="1"/>
        <d v="2025-08-13T00:43:38" u="1"/>
        <d v="2025-08-13T01:20:07" u="1"/>
        <d v="2025-08-13T02:14:03" u="1"/>
        <d v="2025-08-13T02:18:44" u="1"/>
        <d v="2025-08-13T02:37:02" u="1"/>
        <d v="2025-08-13T03:48:43" u="1"/>
        <d v="2025-08-13T04:22:21" u="1"/>
        <d v="2025-08-13T04:22:36" u="1"/>
        <d v="2025-08-13T04:23:07" u="1"/>
        <d v="2025-08-13T04:25:10" u="1"/>
        <d v="2025-08-13T04:25:18" u="1"/>
        <d v="2025-08-13T04:25:33" u="1"/>
        <d v="2025-08-13T04:30:54" u="1"/>
        <d v="2025-08-13T06:57:03" u="1"/>
        <d v="2025-08-13T07:51:49" u="1"/>
        <d v="2025-08-13T07:53:34" u="1"/>
        <d v="2025-08-13T11:14:05" u="1"/>
        <d v="2025-08-13T11:15:17" u="1"/>
        <d v="2025-08-13T11:23:51" u="1"/>
        <d v="2025-08-13T11:57:21" u="1"/>
        <d v="2025-08-13T13:05:38" u="1"/>
        <d v="2025-08-13T13:53:46" u="1"/>
        <d v="2025-08-13T14:06:03" u="1"/>
        <d v="2025-08-13T14:12:07" u="1"/>
        <d v="2025-08-13T14:14:07" u="1"/>
        <d v="2025-08-13T15:04:45" u="1"/>
        <d v="2025-08-13T15:43:09" u="1"/>
        <d v="2025-08-13T15:50:33" u="1"/>
        <d v="2025-08-13T15:52:22" u="1"/>
        <d v="2025-08-13T16:09:17" u="1"/>
        <d v="2025-08-13T16:13:55" u="1"/>
        <d v="2025-08-13T16:35:35" u="1"/>
        <d v="2025-08-13T17:04:44" u="1"/>
        <d v="2025-08-13T17:05:56" u="1"/>
        <d v="2025-08-13T17:06:59" u="1"/>
        <d v="2025-08-13T17:18:09" u="1"/>
        <d v="2025-08-13T17:22:24" u="1"/>
        <d v="2025-08-13T17:24:35" u="1"/>
        <d v="2025-08-13T17:25:38" u="1"/>
        <d v="2025-08-13T17:54:21" u="1"/>
        <d v="2025-08-13T18:01:02" u="1"/>
        <d v="2025-08-13T18:05:50" u="1"/>
        <d v="2025-08-13T18:07:58" u="1"/>
        <d v="2025-08-13T18:47:30" u="1"/>
        <d v="2025-08-13T18:50:29" u="1"/>
        <d v="2025-08-13T19:09:34" u="1"/>
        <d v="2025-08-13T19:47:28" u="1"/>
        <d v="2025-08-13T19:48:51" u="1"/>
        <d v="2025-08-13T21:03:46" u="1"/>
        <d v="2025-08-13T21:27:16" u="1"/>
        <d v="2025-08-13T21:27:18" u="1"/>
        <d v="2025-08-13T21:32:31" u="1"/>
        <d v="2025-08-13T22:00:13" u="1"/>
        <d v="2025-08-13T22:10:08" u="1"/>
        <d v="2025-08-13T22:10:49" u="1"/>
        <d v="2025-08-13T22:21:37" u="1"/>
        <d v="2025-08-13T22:42:29" u="1"/>
        <d v="2025-08-13T22:51:30" u="1"/>
        <d v="2025-08-13T23:44:53" u="1"/>
        <d v="2025-08-14T00:50:53" u="1"/>
        <d v="2025-08-14T00:51:04" u="1"/>
        <d v="2025-08-14T01:05:36" u="1"/>
        <d v="2025-08-14T02:00:47" u="1"/>
        <d v="2025-08-14T03:43:37" u="1"/>
        <d v="2025-08-14T03:51:30" u="1"/>
        <d v="2025-08-14T04:26:21" u="1"/>
        <d v="2025-08-14T08:00:00" u="1"/>
        <d v="2025-08-14T08:00:32" u="1"/>
        <d v="2025-08-14T08:10:17" u="1"/>
        <d v="2025-08-14T08:11:19" u="1"/>
        <d v="2025-08-14T08:25:23" u="1"/>
        <d v="2025-08-14T09:31:00" u="1"/>
        <d v="2025-08-14T10:06:57" u="1"/>
        <d v="2025-08-14T11:01:16" u="1"/>
        <d v="2025-08-14T11:47:29" u="1"/>
        <d v="2025-08-14T15:45:53" u="1"/>
        <d v="2025-08-14T16:45:19" u="1"/>
        <d v="2025-08-14T17:05:54" u="1"/>
        <d v="2025-08-14T17:15:32" u="1"/>
        <d v="2025-08-14T17:18:31" u="1"/>
        <d v="2025-08-14T17:40:04" u="1"/>
        <d v="2025-08-14T17:41:17" u="1"/>
        <d v="2025-08-14T17:49:57" u="1"/>
        <d v="2025-08-14T18:03:52" u="1"/>
        <d v="2025-08-14T18:05:48" u="1"/>
        <d v="2025-08-14T18:10:46" u="1"/>
        <d v="2025-08-14T18:41:43" u="1"/>
        <d v="2025-08-14T18:53:10" u="1"/>
        <d v="2025-08-14T18:59:34" u="1"/>
        <d v="2025-08-14T19:00:23" u="1"/>
        <d v="2025-08-14T19:03:03" u="1"/>
        <d v="2025-08-14T19:10:56" u="1"/>
        <d v="2025-08-14T19:23:51" u="1"/>
        <d v="2025-08-14T19:52:46" u="1"/>
        <d v="2025-08-14T20:06:00" u="1"/>
        <d v="2025-08-14T20:22:20" u="1"/>
        <d v="2025-08-14T20:30:02" u="1"/>
        <d v="2025-08-14T20:41:15" u="1"/>
        <d v="2025-08-14T20:46:12" u="1"/>
        <d v="2025-08-14T21:19:08" u="1"/>
        <d v="2025-08-14T21:40:04" u="1"/>
        <d v="2025-08-14T22:18:02" u="1"/>
        <d v="2025-08-14T23:37:51" u="1"/>
        <d v="2025-08-14T23:47:26" u="1"/>
        <d v="2025-08-15T00:03:42" u="1"/>
        <d v="2025-08-15T00:49:50" u="1"/>
        <d v="2025-08-15T00:57:46" u="1"/>
        <d v="2025-08-15T01:14:45" u="1"/>
        <d v="2025-08-15T01:23:00" u="1"/>
        <d v="2025-08-15T01:33:44" u="1"/>
        <d v="2025-08-15T02:16:22" u="1"/>
        <d v="2025-08-15T02:19:38" u="1"/>
        <d v="2025-08-15T03:39:22" u="1"/>
        <d v="2025-08-15T04:18:33" u="1"/>
        <d v="2025-08-15T04:19:39" u="1"/>
        <d v="2025-08-15T04:56:41" u="1"/>
        <d v="2025-08-15T05:09:50" u="1"/>
        <d v="2025-08-15T05:10:00" u="1"/>
        <d v="2025-08-15T06:25:49" u="1"/>
        <d v="2025-08-15T07:06:52" u="1"/>
        <d v="2025-08-15T07:34:24" u="1"/>
        <d v="2025-08-15T09:32:37" u="1"/>
        <d v="2025-08-15T13:12:33" u="1"/>
        <d v="2025-08-15T13:16:21" u="1"/>
        <d v="2025-08-15T13:19:13" u="1"/>
        <d v="2025-08-15T13:56:08" u="1"/>
        <d v="2025-08-15T14:05:42" u="1"/>
        <d v="2025-08-15T14:41:52" u="1"/>
        <d v="2025-08-15T14:55:09" u="1"/>
        <d v="2025-08-15T15:11:27" u="1"/>
        <d v="2025-08-15T15:23:02" u="1"/>
        <d v="2025-08-15T15:26:48" u="1"/>
        <d v="2025-08-15T15:45:00" u="1"/>
        <d v="2025-08-15T16:37:45" u="1"/>
        <d v="2025-08-15T16:40:00" u="1"/>
        <d v="2025-08-15T17:27:56" u="1"/>
        <d v="2025-08-15T18:04:41" u="1"/>
        <d v="2025-08-15T18:13:04" u="1"/>
        <d v="2025-08-15T18:56:39" u="1"/>
        <d v="2025-08-15T18:57:52" u="1"/>
        <d v="2025-08-15T19:04:10" u="1"/>
        <d v="2025-08-15T19:25:27" u="1"/>
        <d v="2025-08-15T19:45:35" u="1"/>
        <d v="2025-08-15T19:55:11" u="1"/>
        <d v="2025-08-15T20:08:41" u="1"/>
        <d v="2025-08-15T20:36:33" u="1"/>
        <d v="2025-08-15T20:38:01" u="1"/>
        <d v="2025-08-15T21:17:08" u="1"/>
        <d v="2025-08-15T22:18:22" u="1"/>
        <d v="2025-08-15T22:18:31" u="1"/>
        <d v="2025-08-15T22:20:17" u="1"/>
        <d v="2025-08-15T22:45:40" u="1"/>
        <d v="2025-08-15T23:20:49" u="1"/>
        <d v="2025-08-15T23:25:41" u="1"/>
        <d v="2025-08-15T23:26:25" u="1"/>
        <d v="2025-08-15T23:56:20" u="1"/>
        <d v="2025-08-16T00:18:27" u="1"/>
        <d v="2025-08-16T00:53:16" u="1"/>
        <d v="2025-08-16T02:29:48" u="1"/>
        <d v="2025-08-16T02:37:04" u="1"/>
        <d v="2025-08-16T02:43:42" u="1"/>
        <d v="2025-08-16T02:56:48" u="1"/>
        <d v="2025-08-16T03:24:48" u="1"/>
        <d v="2025-08-16T03:37:10" u="1"/>
        <d v="2025-08-16T03:59:59" u="1"/>
        <d v="2025-08-16T04:23:41" u="1"/>
        <d v="2025-08-16T04:37:07" u="1"/>
        <d v="2025-08-16T04:39:11" u="1"/>
        <d v="2025-08-16T04:40:17" u="1"/>
        <d v="2025-08-16T04:53:12" u="1"/>
        <d v="2025-08-16T06:03:21" u="1"/>
        <d v="2025-08-16T06:07:51" u="1"/>
        <d v="2025-08-16T06:08:17" u="1"/>
        <d v="2025-08-16T07:07:07" u="1"/>
        <d v="2025-08-16T07:52:11" u="1"/>
        <d v="2025-08-16T08:03:46" u="1"/>
        <d v="2025-08-16T08:06:30" u="1"/>
        <d v="2025-08-16T08:07:36" u="1"/>
        <d v="2025-08-16T08:40:37" u="1"/>
        <d v="2025-08-16T08:56:50" u="1"/>
        <d v="2025-08-16T08:57:33" u="1"/>
        <d v="2025-08-16T09:54:42" u="1"/>
        <d v="2025-08-16T10:50:51" u="1"/>
        <d v="2025-08-16T14:03:42" u="1"/>
        <d v="2025-08-16T16:17:35" u="1"/>
        <d v="2025-08-16T17:19:23" u="1"/>
        <d v="2025-08-16T17:50:38" u="1"/>
        <d v="2025-08-16T18:02:42" u="1"/>
        <d v="2025-08-16T18:14:52" u="1"/>
        <d v="2025-08-16T18:44:15" u="1"/>
        <d v="2025-08-16T18:46:58" u="1"/>
        <d v="2025-08-16T18:52:32" u="1"/>
        <d v="2025-08-16T18:58:19" u="1"/>
        <d v="2025-08-16T18:59:00" u="1"/>
        <d v="2025-08-16T19:00:00" u="1"/>
        <d v="2025-08-16T19:00:32" u="1"/>
        <d v="2025-08-16T19:10:31" u="1"/>
        <d v="2025-08-16T19:10:38" u="1"/>
        <d v="2025-08-16T19:11:11" u="1"/>
        <d v="2025-08-16T19:13:19" u="1"/>
        <d v="2025-08-16T19:17:11" u="1"/>
        <d v="2025-08-16T19:47:44" u="1"/>
        <d v="2025-08-16T20:30:46" u="1"/>
        <d v="2025-08-16T20:58:12" u="1"/>
        <d v="2025-08-16T21:02:06" u="1"/>
        <d v="2025-08-16T21:02:46" u="1"/>
        <d v="2025-08-16T21:04:50" u="1"/>
        <d v="2025-08-16T21:07:04" u="1"/>
        <d v="2025-08-16T21:22:12" u="1"/>
        <d v="2025-08-16T23:31:32" u="1"/>
        <d v="2025-08-16T23:34:33" u="1"/>
        <d v="2025-08-16T23:37:27" u="1"/>
        <d v="2025-08-16T23:54:30" u="1"/>
        <d v="2025-08-16T23:56:03" u="1"/>
        <d v="2025-08-17T00:36:12" u="1"/>
        <d v="2025-08-17T04:04:13" u="1"/>
        <d v="2025-08-17T05:04:53" u="1"/>
        <d v="2025-08-17T05:19:59" u="1"/>
        <d v="2025-08-17T05:23:32" u="1"/>
        <d v="2025-08-17T06:07:26" u="1"/>
        <d v="2025-08-17T09:48:08" u="1"/>
        <d v="2025-08-17T11:06:06" u="1"/>
        <d v="2025-08-17T11:06:08" u="1"/>
        <d v="2025-08-17T11:08:56" u="1"/>
        <d v="2025-08-17T11:09:45" u="1"/>
        <d v="2025-08-17T11:10:54" u="1"/>
        <d v="2025-08-17T11:11:29" u="1"/>
        <d v="2025-08-17T11:32:11" u="1"/>
        <d v="2025-08-17T11:32:47" u="1"/>
        <d v="2025-08-17T11:37:21" u="1"/>
        <d v="2025-08-17T11:39:11" u="1"/>
        <d v="2025-08-17T11:39:25" u="1"/>
        <d v="2025-08-17T11:47:05" u="1"/>
        <d v="2025-08-17T11:47:37" u="1"/>
        <d v="2025-08-17T12:01:06" u="1"/>
        <d v="2025-08-17T15:38:39" u="1"/>
        <d v="2025-08-17T15:39:24" u="1"/>
        <d v="2025-08-17T16:53:02" u="1"/>
        <d v="2025-08-17T17:22:19" u="1"/>
        <d v="2025-08-17T18:41:27" u="1"/>
        <d v="2025-08-17T20:52:59" u="1"/>
        <d v="2025-08-17T20:56:34" u="1"/>
        <d v="2025-08-17T21:00:27" u="1"/>
        <d v="2025-08-17T22:13:58" u="1"/>
        <d v="2025-08-18T02:14:36" u="1"/>
        <d v="2025-08-18T03:11:47" u="1"/>
        <d v="2025-08-18T03:16:26" u="1"/>
        <d v="2025-08-18T04:09:37" u="1"/>
        <d v="2025-08-18T04:42:25" u="1"/>
        <d v="2025-08-18T04:51:21" u="1"/>
        <d v="2025-08-18T05:18:58" u="1"/>
        <d v="2025-08-18T05:46:44" u="1"/>
        <d v="2025-08-18T06:31:57" u="1"/>
        <d v="2025-08-18T13:45:22" u="1"/>
        <d v="2025-08-18T15:33:53" u="1"/>
        <d v="2025-08-18T15:40:50" u="1"/>
        <d v="2025-08-18T16:34:05" u="1"/>
        <d v="2025-08-18T17:18:34" u="1"/>
        <d v="2025-08-18T17:27:20" u="1"/>
        <d v="2025-08-18T17:29:50" u="1"/>
        <d v="2025-08-18T17:33:37" u="1"/>
        <d v="2025-08-18T17:36:03" u="1"/>
        <d v="2025-08-18T17:41:14" u="1"/>
        <d v="2025-08-18T18:10:11" u="1"/>
        <d v="2025-08-18T18:24:13" u="1"/>
        <d v="2025-08-18T18:31:30" u="1"/>
        <d v="2025-08-18T18:45:32" u="1"/>
        <d v="2025-08-18T19:08:17" u="1"/>
        <d v="2025-08-18T20:24:31" u="1"/>
        <d v="2025-08-18T21:13:22" u="1"/>
        <d v="2025-08-18T21:35:11" u="1"/>
        <d v="2025-08-18T21:52:01" u="1"/>
        <d v="2025-08-18T21:52:28" u="1"/>
        <d v="2025-08-18T22:00:10" u="1"/>
        <d v="2025-08-18T22:02:19" u="1"/>
        <d v="2025-08-18T22:02:22" u="1"/>
        <d v="2025-08-18T22:08:56" u="1"/>
        <d v="2025-08-18T22:14:19" u="1"/>
        <d v="2025-08-18T22:37:38" u="1"/>
        <d v="2025-08-18T23:22:22" u="1"/>
        <d v="2025-08-18T23:29:31" u="1"/>
        <d v="2025-08-18T23:31:03" u="1"/>
        <d v="2025-08-18T23:57:58" u="1"/>
        <d v="2025-08-19T00:41:59" u="1"/>
        <d v="2025-08-19T00:48:56" u="1"/>
        <d v="2025-08-19T01:19:17" u="1"/>
        <d v="2025-08-19T01:32:43" u="1"/>
        <d v="2025-08-19T02:16:28" u="1"/>
        <d v="2025-08-19T03:25:31" u="1"/>
        <d v="2025-08-19T03:25:32" u="1"/>
        <d v="2025-08-19T03:25:42" u="1"/>
        <d v="2025-08-19T03:25:46" u="1"/>
        <d v="2025-08-19T03:25:48" u="1"/>
        <d v="2025-08-19T03:26:05" u="1"/>
        <d v="2025-08-19T03:28:54" u="1"/>
        <d v="2025-08-19T05:08:55" u="1"/>
        <d v="2025-08-19T09:15:40" u="1"/>
        <d v="2025-08-19T12:02:13" u="1"/>
        <d v="2025-08-19T15:36:35" u="1"/>
        <d v="2025-08-19T15:54:50" u="1"/>
        <d v="2025-08-19T16:22:32" u="1"/>
        <d v="2025-08-19T16:27:09" u="1"/>
        <d v="2025-08-19T17:12:29" u="1"/>
        <d v="2025-08-19T17:46:30" u="1"/>
        <d v="2025-08-19T18:12:11" u="1"/>
        <d v="2025-08-19T18:16:35" u="1"/>
        <d v="2025-08-19T18:23:27" u="1"/>
        <d v="2025-08-19T18:56:31" u="1"/>
        <d v="2025-08-19T19:05:04" u="1"/>
        <d v="2025-08-19T19:08:37" u="1"/>
        <d v="2025-08-19T19:18:57" u="1"/>
        <d v="2025-08-19T19:22:38" u="1"/>
        <d v="2025-08-19T19:52:32" u="1"/>
        <d v="2025-08-19T20:00:12" u="1"/>
        <d v="2025-08-19T20:26:43" u="1"/>
        <d v="2025-08-19T20:28:15" u="1"/>
        <d v="2025-08-19T20:52:21" u="1"/>
        <d v="2025-08-19T21:05:14" u="1"/>
        <d v="2025-08-19T21:13:13" u="1"/>
        <d v="2025-08-19T21:19:18" u="1"/>
        <d v="2025-08-19T22:05:05" u="1"/>
        <d v="2025-08-19T22:36:55" u="1"/>
        <d v="2025-08-19T22:45:47" u="1"/>
        <d v="2025-08-19T22:46:16" u="1"/>
        <d v="2025-08-19T22:48:39" u="1"/>
        <d v="2025-08-19T23:00:27" u="1"/>
        <d v="2025-08-19T23:06:03" u="1"/>
        <d v="2025-08-19T23:37:16" u="1"/>
        <d v="2025-08-19T23:49:38" u="1"/>
        <d v="2025-08-19T23:51:23" u="1"/>
        <d v="2025-08-19T23:56:24" u="1"/>
        <d v="2025-08-20T00:21:06" u="1"/>
        <d v="2025-08-20T00:22:36" u="1"/>
        <d v="2025-08-20T00:40:48" u="1"/>
        <d v="2025-08-20T01:09:19" u="1"/>
        <d v="2025-08-20T01:15:51" u="1"/>
        <d v="2025-08-20T02:17:25" u="1"/>
        <d v="2025-08-20T02:25:40" u="1"/>
        <d v="2025-08-20T02:31:34" u="1"/>
        <d v="2025-08-20T03:32:27" u="1"/>
        <d v="2025-08-20T03:32:38" u="1"/>
        <d v="2025-08-20T03:41:44" u="1"/>
        <d v="2025-08-20T04:01:46" u="1"/>
        <d v="2025-08-20T04:12:38" u="1"/>
        <d v="2025-08-20T06:23:48" u="1"/>
        <d v="2025-08-20T14:04:28" u="1"/>
        <d v="2025-08-20T14:15:58" u="1"/>
        <d v="2025-08-20T14:26:39" u="1"/>
        <d v="2025-08-20T14:30:35" u="1"/>
        <d v="2025-08-20T14:45:37" u="1"/>
        <d v="2025-08-20T15:40:34" u="1"/>
        <d v="2025-08-20T15:44:35" u="1"/>
        <d v="2025-08-20T16:02:54" u="1"/>
        <d v="2025-08-20T16:29:17" u="1"/>
        <d v="2025-08-20T16:39:38" u="1"/>
        <d v="2025-08-20T16:40:01" u="1"/>
        <d v="2025-08-20T16:40:36" u="1"/>
        <d v="2025-08-20T18:15:17" u="1"/>
        <d v="2025-08-20T18:41:26" u="1"/>
        <d v="2025-08-20T19:01:09" u="1"/>
        <d v="2025-08-20T19:01:42" u="1"/>
        <d v="2025-08-20T19:04:08" u="1"/>
        <d v="2025-08-20T19:05:09" u="1"/>
        <d v="2025-08-20T19:09:45" u="1"/>
        <d v="2025-08-20T19:20:07" u="1"/>
        <d v="2025-08-20T19:29:11" u="1"/>
        <d v="2025-08-20T20:04:18" u="1"/>
        <d v="2025-08-20T20:05:52" u="1"/>
        <d v="2025-08-20T20:21:39" u="1"/>
        <d v="2025-08-20T20:22:37" u="1"/>
        <d v="2025-08-20T20:32:28" u="1"/>
        <d v="2025-08-20T21:03:51" u="1"/>
        <d v="2025-08-20T21:22:42" u="1"/>
        <d v="2025-08-20T21:25:39" u="1"/>
        <d v="2025-08-20T23:24:14" u="1"/>
        <d v="2025-08-20T23:39:31" u="1"/>
        <d v="2025-08-20T23:48:59" u="1"/>
        <d v="2025-08-20T23:57:16" u="1"/>
        <d v="2025-08-21T00:47:04" u="1"/>
        <d v="2025-08-21T02:21:58" u="1"/>
        <d v="2025-08-21T03:55:59" u="1"/>
        <d v="2025-08-21T06:13:41" u="1"/>
        <d v="2025-08-21T07:21:54" u="1"/>
        <d v="2025-08-21T07:57:40" u="1"/>
        <d v="2025-08-21T08:43:11" u="1"/>
        <d v="2025-08-21T10:15:03" u="1"/>
        <d v="2025-08-21T11:23:05" u="1"/>
        <d v="2025-08-21T12:11:41" u="1"/>
        <d v="2025-08-21T13:44:46" u="1"/>
        <d v="2025-08-21T14:52:59" u="1"/>
        <d v="2025-08-21T14:53:38" u="1"/>
        <d v="2025-08-21T14:53:59" u="1"/>
        <d v="2025-08-21T14:55:36" u="1"/>
        <d v="2025-08-21T16:24:02" u="1"/>
        <d v="2025-08-21T16:38:08" u="1"/>
        <d v="2025-08-21T16:59:10" u="1"/>
        <d v="2025-08-21T17:22:09" u="1"/>
        <d v="2025-08-21T17:52:13" u="1"/>
        <d v="2025-08-21T18:26:41" u="1"/>
        <d v="2025-08-21T18:58:05" u="1"/>
        <d v="2025-08-21T19:20:45" u="1"/>
        <d v="2025-08-21T19:27:44" u="1"/>
        <d v="2025-08-21T19:35:12" u="1"/>
        <d v="2025-08-21T19:57:40" u="1"/>
        <d v="2025-08-21T20:08:18" u="1"/>
        <d v="2025-08-21T20:34:53" u="1"/>
        <d v="2025-08-21T20:45:10" u="1"/>
        <d v="2025-08-21T20:55:24" u="1"/>
        <d v="2025-08-21T21:17:41" u="1"/>
        <d v="2025-08-21T21:25:01" u="1"/>
        <d v="2025-08-21T21:38:49" u="1"/>
        <d v="2025-08-21T21:45:46" u="1"/>
        <d v="2025-08-21T22:00:03" u="1"/>
        <d v="2025-08-21T22:00:21" u="1"/>
        <d v="2025-08-21T23:00:22" u="1"/>
        <d v="2025-08-21T23:11:38" u="1"/>
        <d v="2025-08-21T23:49:15" u="1"/>
        <d v="2025-08-22T01:57:56" u="1"/>
        <d v="2025-08-22T01:58:29" u="1"/>
        <d v="2025-08-22T04:47:00" u="1"/>
        <d v="2025-08-22T04:48:21" u="1"/>
        <d v="2025-08-22T04:51:04" u="1"/>
        <d v="2025-08-22T04:52:44" u="1"/>
        <d v="2025-08-22T04:55:15" u="1"/>
        <d v="2025-08-22T04:59:54" u="1"/>
        <d v="2025-08-22T05:05:48" u="1"/>
        <d v="2025-08-22T06:23:49" u="1"/>
        <d v="2025-08-22T06:40:06" u="1"/>
        <d v="2025-08-22T06:45:58" u="1"/>
        <d v="2025-08-22T06:46:23" u="1"/>
        <d v="2025-08-22T08:53:27" u="1"/>
        <d v="2025-08-22T09:13:42" u="1"/>
        <d v="2025-08-22T09:15:12" u="1"/>
        <d v="2025-08-22T09:53:38" u="1"/>
        <d v="2025-08-22T09:53:43" u="1"/>
        <d v="2025-08-22T12:44:14" u="1"/>
        <d v="2025-08-22T12:44:43" u="1"/>
        <d v="2025-08-22T12:59:23" u="1"/>
        <d v="2025-08-22T14:42:10" u="1"/>
        <d v="2025-08-22T15:18:02" u="1"/>
        <d v="2025-08-22T15:41:11" u="1"/>
        <d v="2025-08-22T15:59:38" u="1"/>
        <d v="2025-08-22T16:10:30" u="1"/>
        <d v="2025-08-22T18:07:26" u="1"/>
        <d v="2025-08-22T18:08:08" u="1"/>
        <d v="2025-08-22T18:38:55" u="1"/>
        <d v="2025-08-22T18:43:58" u="1"/>
        <d v="2025-08-22T18:59:07" u="1"/>
        <d v="2025-08-22T19:28:37" u="1"/>
        <d v="2025-08-22T19:56:27" u="1"/>
        <d v="2025-08-22T19:57:44" u="1"/>
        <d v="2025-08-22T20:22:22" u="1"/>
        <d v="2025-08-22T20:24:13" u="1"/>
        <d v="2025-08-22T20:25:56" u="1"/>
        <d v="2025-08-22T20:37:39" u="1"/>
        <d v="2025-08-22T21:00:37" u="1"/>
        <d v="2025-08-22T21:08:04" u="1"/>
        <d v="2025-08-22T21:17:02" u="1"/>
        <d v="2025-08-22T21:17:56" u="1"/>
        <d v="2025-08-22T22:12:19" u="1"/>
        <d v="2025-08-22T22:17:10" u="1"/>
        <d v="2025-08-22T23:23:45" u="1"/>
        <d v="2025-08-23T01:15:26" u="1"/>
        <d v="2025-08-23T01:35:26" u="1"/>
        <d v="2025-08-23T01:39:20" u="1"/>
        <d v="2025-08-23T02:13:00" u="1"/>
        <d v="2025-08-23T02:26:23" u="1"/>
        <d v="2025-08-23T02:46:01" u="1"/>
        <d v="2025-08-23T02:48:25" u="1"/>
        <d v="2025-08-23T03:12:38" u="1"/>
        <d v="2025-08-23T03:21:06" u="1"/>
        <d v="2025-08-23T03:23:48" u="1"/>
        <d v="2025-08-23T03:30:22" u="1"/>
        <d v="2025-08-23T04:03:42" u="1"/>
        <d v="2025-08-23T05:46:38" u="1"/>
        <d v="2025-08-23T07:08:05" u="1"/>
        <d v="2025-08-23T08:06:57" u="1"/>
        <d v="2025-08-23T08:16:09" u="1"/>
        <d v="2025-08-23T10:09:14" u="1"/>
        <d v="2025-08-23T10:16:47" u="1"/>
        <d v="2025-08-23T10:44:52" u="1"/>
        <d v="2025-08-23T13:49:43" u="1"/>
        <d v="2025-08-23T14:55:40" u="1"/>
        <d v="2025-08-23T18:37:04" u="1"/>
        <d v="2025-08-23T18:42:04" u="1"/>
        <d v="2025-08-23T20:24:08" u="1"/>
        <d v="2025-08-23T21:38:27" u="1"/>
        <d v="2025-08-23T23:56:44" u="1"/>
        <d v="2025-08-24T03:15:16" u="1"/>
        <d v="2025-08-24T03:45:01" u="1"/>
        <d v="2025-08-24T04:05:41" u="1"/>
        <d v="2025-08-24T04:05:44" u="1"/>
        <d v="2025-08-24T04:06:49" u="1"/>
        <d v="2025-08-24T04:09:12" u="1"/>
        <d v="2025-08-24T04:09:29" u="1"/>
        <d v="2025-08-24T04:09:33" u="1"/>
        <d v="2025-08-24T04:09:50" u="1"/>
        <d v="2025-08-24T04:10:09" u="1"/>
        <d v="2025-08-24T05:08:23" u="1"/>
        <d v="2025-08-24T05:12:52" u="1"/>
        <d v="2025-08-24T15:48:15" u="1"/>
        <d v="2025-08-24T16:24:12" u="1"/>
        <d v="2025-08-24T18:37:11" u="1"/>
        <d v="2025-08-24T19:00:37" u="1"/>
        <d v="2025-08-24T19:08:25" u="1"/>
        <d v="2025-08-24T19:18:56" u="1"/>
        <d v="2025-08-24T20:53:34" u="1"/>
        <d v="2025-08-24T22:10:09" u="1"/>
        <d v="2025-08-24T22:27:15" u="1"/>
        <d v="2025-08-25T00:46:51" u="1"/>
        <d v="2025-08-25T01:20:30" u="1"/>
        <d v="2025-08-25T01:46:40" u="1"/>
        <d v="2025-08-25T02:43:25" u="1"/>
        <d v="2025-08-25T05:27:17" u="1"/>
        <d v="2025-08-25T07:16:03" u="1"/>
        <d v="2025-08-25T08:28:26" u="1"/>
        <d v="2025-08-25T09:02:23" u="1"/>
        <d v="2025-08-25T09:09:18" u="1"/>
        <d v="2025-08-25T15:08:23" u="1"/>
        <d v="2025-08-25T15:53:05" u="1"/>
        <d v="2025-08-25T15:56:15" u="1"/>
        <d v="2025-08-25T16:22:30" u="1"/>
        <d v="2025-08-25T16:31:38" u="1"/>
        <d v="2025-08-25T16:37:55" u="1"/>
        <d v="2025-08-25T16:45:10" u="1"/>
        <d v="2025-08-25T17:50:05" u="1"/>
        <d v="2025-08-25T17:56:30" u="1"/>
        <d v="2025-08-25T18:30:33" u="1"/>
        <d v="2025-08-25T18:51:41" u="1"/>
        <d v="2025-08-25T19:30:05" u="1"/>
        <d v="2025-08-25T19:31:31" u="1"/>
        <d v="2025-08-25T20:37:40" u="1"/>
        <d v="2025-08-25T20:51:28" u="1"/>
        <d v="2025-08-25T20:54:49" u="1"/>
        <d v="2025-08-25T21:08:50" u="1"/>
        <d v="2025-08-25T22:03:39" u="1"/>
        <d v="2025-08-25T22:06:22" u="1"/>
        <d v="2025-08-26T00:04:04" u="1"/>
        <d v="2025-08-26T00:30:01" u="1"/>
        <d v="2025-08-26T01:16:56" u="1"/>
        <d v="2025-08-26T02:34:12" u="1"/>
        <d v="2025-08-26T03:48:56" u="1"/>
        <d v="2025-08-26T03:49:56" u="1"/>
        <d v="2025-08-26T12:42:12" u="1"/>
        <d v="2025-08-26T14:16:02" u="1"/>
        <d v="2025-08-26T14:39:43" u="1"/>
        <d v="2025-08-26T15:05:50" u="1"/>
        <d v="2025-08-26T15:12:51" u="1"/>
        <d v="2025-08-26T15:48:55" u="1"/>
        <d v="2025-08-26T16:07:35" u="1"/>
        <d v="2025-08-26T16:33:56" u="1"/>
        <d v="2025-08-26T17:12:27" u="1"/>
        <d v="2025-08-26T18:05:23" u="1"/>
        <d v="2025-08-26T18:06:02" u="1"/>
        <d v="2025-08-26T18:14:40" u="1"/>
        <d v="2025-08-26T18:44:23" u="1"/>
        <d v="2025-08-26T20:36:34" u="1"/>
        <d v="2025-08-26T20:48:26" u="1"/>
        <d v="2025-08-26T21:07:36" u="1"/>
        <d v="2025-08-26T21:24:04" u="1"/>
        <d v="2025-08-26T21:30:20" u="1"/>
        <d v="2025-08-26T22:07:13" u="1"/>
        <d v="2025-08-26T22:57:34" u="1"/>
        <d v="2025-08-26T23:23:13" u="1"/>
        <d v="2025-08-26T23:25:22" u="1"/>
        <d v="2025-08-26T23:42:24" u="1"/>
        <d v="2025-08-27T00:14:24" u="1"/>
        <d v="2025-08-27T00:29:22" u="1"/>
        <d v="2025-08-27T00:49:22" u="1"/>
        <d v="2025-08-27T00:50:08" u="1"/>
        <d v="2025-08-27T01:00:02" u="1"/>
        <d v="2025-08-27T01:24:11" u="1"/>
        <d v="2025-08-27T01:25:12" u="1"/>
        <d v="2025-08-27T01:38:16" u="1"/>
        <d v="2025-08-27T01:45:21" u="1"/>
        <d v="2025-08-27T02:32:11" u="1"/>
        <d v="2025-08-27T02:39:49" u="1"/>
        <d v="2025-08-27T03:58:38" u="1"/>
        <d v="2025-08-27T04:01:53" u="1"/>
        <d v="2025-08-27T04:41:59" u="1"/>
        <d v="2025-08-27T04:42:14" u="1"/>
        <d v="2025-08-27T05:07:18" u="1"/>
        <d v="2025-08-27T05:14:08" u="1"/>
        <d v="2025-08-27T05:34:26" u="1"/>
        <d v="2025-08-27T08:44:15" u="1"/>
        <d v="2025-08-27T09:52:28" u="1"/>
        <d v="2025-08-27T12:35:15" u="1"/>
        <d v="2025-08-27T14:31:39" u="1"/>
        <d v="2025-08-27T14:32:43" u="1"/>
        <d v="2025-08-27T15:07:27" u="1"/>
        <d v="2025-08-27T15:14:34" u="1"/>
        <d v="2025-08-27T15:18:34" u="1"/>
        <d v="2025-08-27T15:21:45" u="1"/>
        <d v="2025-08-27T15:30:28" u="1"/>
        <d v="2025-08-27T16:09:11" u="1"/>
        <d v="2025-08-27T16:49:34" u="1"/>
        <d v="2025-08-27T16:50:12" u="1"/>
        <d v="2025-08-27T17:08:22" u="1"/>
        <d v="2025-08-27T17:39:05" u="1"/>
        <d v="2025-08-27T17:50:16" u="1"/>
        <d v="2025-08-27T18:23:49" u="1"/>
        <d v="2025-08-27T18:43:07" u="1"/>
        <d v="2025-08-27T18:51:19" u="1"/>
        <d v="2025-08-27T19:06:06" u="1"/>
        <d v="2025-08-27T19:54:52" u="1"/>
        <d v="2025-08-27T19:57:26" u="1"/>
        <d v="2025-08-27T20:28:22" u="1"/>
        <d v="2025-08-27T20:59:04" u="1"/>
        <d v="2025-08-27T21:15:14" u="1"/>
        <d v="2025-08-27T21:16:40" u="1"/>
        <d v="2025-08-27T21:51:55" u="1"/>
        <d v="2025-08-27T21:55:23" u="1"/>
        <d v="2025-08-27T22:00:31" u="1"/>
        <d v="2025-08-27T22:03:12" u="1"/>
        <d v="2025-08-27T23:06:58" u="1"/>
        <d v="2025-08-27T23:07:09" u="1"/>
        <d v="2025-08-28T00:49:25" u="1"/>
        <d v="2025-08-28T01:18:45" u="1"/>
        <d v="2025-08-28T01:32:41" u="1"/>
        <d v="2025-08-28T01:33:02" u="1"/>
        <d v="2025-08-28T01:33:17" u="1"/>
        <d v="2025-08-28T01:33:22" u="1"/>
        <d v="2025-08-28T01:34:55" u="1"/>
        <d v="2025-08-28T02:00:18" u="1"/>
        <d v="2025-08-28T02:02:11" u="1"/>
        <d v="2025-08-28T02:02:16" u="1"/>
        <d v="2025-08-28T02:12:16" u="1"/>
        <d v="2025-08-28T02:32:50" u="1"/>
        <d v="2025-08-28T03:09:10" u="1"/>
        <d v="2025-08-28T03:58:38" u="1"/>
        <d v="2025-08-28T04:09:25" u="1"/>
        <d v="2025-08-28T04:31:12" u="1"/>
        <d v="2025-08-28T06:29:37" u="1"/>
        <d v="2025-08-28T06:31:56" u="1"/>
        <d v="2025-08-28T07:58:35" u="1"/>
        <d v="2025-08-28T11:10:12" u="1"/>
        <d v="2025-08-28T13:56:59" u="1"/>
        <d v="2025-08-28T14:33:10" u="1"/>
        <d v="2025-08-28T15:10:48" u="1"/>
        <d v="2025-08-28T15:43:10" u="1"/>
        <d v="2025-08-28T15:57:35" u="1"/>
        <d v="2025-08-28T16:11:17" u="1"/>
        <d v="2025-08-28T16:29:19" u="1"/>
        <d v="2025-08-28T16:36:06" u="1"/>
        <d v="2025-08-28T17:12:23" u="1"/>
        <d v="2025-08-28T17:28:28" u="1"/>
        <d v="2025-08-28T17:28:46" u="1"/>
        <d v="2025-08-28T17:35:39" u="1"/>
        <d v="2025-08-28T18:09:57" u="1"/>
        <d v="2025-08-28T18:13:55" u="1"/>
        <d v="2025-08-28T18:14:04" u="1"/>
        <d v="2025-08-28T18:42:26" u="1"/>
        <d v="2025-08-28T18:49:48" u="1"/>
        <d v="2025-08-28T18:52:24" u="1"/>
        <d v="2025-08-28T18:55:37" u="1"/>
        <d v="2025-08-28T19:05:28" u="1"/>
        <d v="2025-08-28T19:16:41" u="1"/>
        <d v="2025-08-28T20:00:11" u="1"/>
        <d v="2025-08-28T20:10:31" u="1"/>
        <d v="2025-08-28T20:11:39" u="1"/>
        <d v="2025-08-28T21:36:24" u="1"/>
        <d v="2025-08-28T21:49:36" u="1"/>
        <d v="2025-08-28T23:00:06" u="1"/>
        <d v="2025-08-28T23:13:09" u="1"/>
        <d v="2025-08-28T23:13:47" u="1"/>
        <d v="2025-08-28T23:18:56" u="1"/>
        <d v="2025-08-28T23:22:00" u="1"/>
        <d v="2025-08-28T23:22:04" u="1"/>
        <d v="2025-08-28T23:39:44" u="1"/>
        <d v="2025-08-29T00:00:29" u="1"/>
        <d v="2025-08-29T00:03:27" u="1"/>
        <d v="2025-08-29T00:12:38" u="1"/>
        <d v="2025-08-29T00:15:40" u="1"/>
        <d v="2025-08-29T01:47:24" u="1"/>
        <d v="2025-08-29T02:47:29" u="1"/>
        <d v="2025-08-29T02:52:13" u="1"/>
        <d v="2025-08-29T02:52:59" u="1"/>
        <d v="2025-08-29T03:12:13" u="1"/>
        <d v="2025-08-29T03:23:41" u="1"/>
        <d v="2025-08-29T03:31:38" u="1"/>
        <d v="2025-08-29T04:09:06" u="1"/>
        <d v="2025-08-29T04:10:41" u="1"/>
        <d v="2025-08-29T04:38:03" u="1"/>
        <d v="2025-08-29T05:18:55" u="1"/>
        <d v="2025-08-29T05:32:08" u="1"/>
        <d v="2025-08-29T05:47:59" u="1"/>
        <d v="2025-08-29T06:00:18" u="1"/>
        <d v="2025-08-29T06:25:10" u="1"/>
        <d v="2025-08-29T07:19:25" u="1"/>
        <d v="2025-08-29T09:24:48" u="1"/>
        <d v="2025-08-29T10:47:26" u="1"/>
        <d v="2025-08-29T10:48:11" u="1"/>
        <d v="2025-08-29T14:39:27" u="1"/>
        <d v="2025-08-29T16:24:36" u="1"/>
        <d v="2025-08-29T17:50:39" u="1"/>
        <d v="2025-08-29T18:12:16" u="1"/>
        <d v="2025-08-29T18:37:13" u="1"/>
        <d v="2025-08-29T18:52:31" u="1"/>
        <d v="2025-08-29T18:56:38" u="1"/>
        <d v="2025-08-29T19:00:20" u="1"/>
        <d v="2025-08-29T19:14:38" u="1"/>
        <d v="2025-08-29T19:16:39" u="1"/>
        <d v="2025-08-29T19:52:09" u="1"/>
        <d v="2025-08-29T20:02:18" u="1"/>
        <d v="2025-08-29T21:40:10" u="1"/>
        <d v="2025-08-29T22:37:33" u="1"/>
        <d v="2025-08-29T23:11:05" u="1"/>
        <d v="2025-08-29T23:22:15" u="1"/>
        <d v="2025-08-30T00:00:40" u="1"/>
        <d v="2025-08-30T00:23:09" u="1"/>
        <d v="2025-08-30T01:01:04" u="1"/>
        <d v="2025-08-30T01:13:26" u="1"/>
        <d v="2025-08-30T01:52:11" u="1"/>
        <d v="2025-08-30T02:16:29" u="1"/>
        <d v="2025-08-30T02:46:39" u="1"/>
        <d v="2025-08-30T02:47:46" u="1"/>
        <d v="2025-08-30T03:09:16" u="1"/>
        <d v="2025-08-30T03:57:13" u="1"/>
        <d v="2025-08-30T07:06:43" u="1"/>
        <d v="2025-08-30T13:18:40" u="1"/>
        <d v="2025-08-30T15:26:37" u="1"/>
        <d v="2025-08-30T16:39:28" u="1"/>
        <d v="2025-08-30T18:49:06" u="1"/>
        <d v="2025-08-30T19:04:07" u="1"/>
        <d v="2025-08-30T19:41:18" u="1"/>
        <d v="2025-08-30T22:21:43" u="1"/>
        <d v="2025-08-30T22:25:49" u="1"/>
        <d v="2025-08-30T22:37:54" u="1"/>
        <d v="2025-08-30T23:31:19" u="1"/>
        <d v="2025-08-30T23:36:31" u="1"/>
        <d v="2025-08-30T23:39:35" u="1"/>
        <d v="2025-08-30T23:42:48" u="1"/>
        <d v="2025-08-31T00:21:03" u="1"/>
        <d v="2025-08-31T00:29:15" u="1"/>
        <d v="2025-08-31T00:29:20" u="1"/>
        <d v="2025-08-31T01:40:44" u="1"/>
        <d v="2025-08-31T01:41:41" u="1"/>
        <d v="2025-08-31T02:00:25" u="1"/>
        <d v="2025-08-31T02:01:39" u="1"/>
        <d v="2025-08-31T02:57:55" u="1"/>
        <d v="2025-08-31T03:50:27" u="1"/>
        <d v="2025-08-31T04:12:51" u="1"/>
        <d v="2025-08-31T06:02:15" u="1"/>
        <d v="2025-08-31T08:06:53" u="1"/>
        <d v="2025-08-31T08:42:09" u="1"/>
        <d v="2025-08-31T09:13:17" u="1"/>
        <d v="2025-08-31T09:57:33" u="1"/>
        <d v="2025-08-31T10:05:06" u="1"/>
        <d v="2025-08-31T10:10:17" u="1"/>
        <d v="2025-08-31T16:50:17" u="1"/>
        <d v="2025-08-31T17:40:43" u="1"/>
        <d v="2025-08-31T17:45:25" u="1"/>
        <d v="2025-08-31T19:13:46" u="1"/>
        <d v="2025-08-31T19:20:21" u="1"/>
        <d v="2025-08-31T20:06:27" u="1"/>
        <d v="2025-08-31T21:42:00" u="1"/>
        <d v="2025-09-01T06:05:01" u="1"/>
        <d v="2025-09-01T08:08:05" u="1"/>
        <d v="2025-09-01T08:13:14" u="1"/>
        <d v="2025-09-01T13:42:28" u="1"/>
        <d v="2025-09-01T14:17:38" u="1"/>
        <d v="2025-09-01T14:25:45" u="1"/>
        <d v="2025-09-01T14:30:57" u="1"/>
        <d v="2025-09-01T15:07:43" u="1"/>
        <d v="2025-09-01T15:10:27" u="1"/>
        <d v="2025-09-01T17:17:29" u="1"/>
        <d v="2025-09-01T19:42:13" u="1"/>
        <d v="2025-09-01T20:19:40" u="1"/>
        <d v="2025-09-01T20:41:27" u="1"/>
        <d v="2025-09-01T20:56:06" u="1"/>
        <d v="2025-09-01T21:01:11" u="1"/>
        <d v="2025-09-01T21:02:07" u="1"/>
        <d v="2025-09-01T21:04:09" u="1"/>
        <d v="2025-09-01T23:04:27" u="1"/>
        <d v="2025-09-01T23:59:14" u="1"/>
        <d v="2025-09-01T23:59:42" u="1"/>
        <d v="2025-09-02T00:26:05" u="1"/>
        <d v="2025-09-02T00:28:36" u="1"/>
        <d v="2025-09-02T01:17:50" u="1"/>
        <d v="2025-09-02T01:26:08" u="1"/>
        <d v="2025-09-02T01:29:34" u="1"/>
        <d v="2025-09-02T01:54:21" u="1"/>
        <d v="2025-09-02T02:03:38" u="1"/>
        <d v="2025-09-02T02:05:47" u="1"/>
        <d v="2025-09-02T02:09:03" u="1"/>
        <d v="2025-09-02T02:28:10" u="1"/>
        <d v="2025-09-02T03:16:48" u="1"/>
        <d v="2025-09-02T04:16:03" u="1"/>
        <d v="2025-09-02T05:42:10" u="1"/>
        <d v="2025-09-02T06:09:46" u="1"/>
        <d v="2025-09-02T06:51:57" u="1"/>
        <d v="2025-09-02T07:28:33" u="1"/>
        <d v="2025-09-02T08:38:13" u="1"/>
        <d v="2025-09-02T08:51:28" u="1"/>
        <d v="2025-09-02T08:51:32" u="1"/>
        <d v="2025-09-02T08:53:14" u="1"/>
        <d v="2025-09-02T09:02:35" u="1"/>
        <d v="2025-09-02T09:02:45" u="1"/>
        <d v="2025-09-02T09:19:47" u="1"/>
        <d v="2025-09-02T10:00:03" u="1"/>
        <d v="2025-09-02T10:18:30" u="1"/>
        <d v="2025-09-02T10:33:17" u="1"/>
        <d v="2025-09-02T11:10:50" u="1"/>
        <d v="2025-09-02T12:54:12" u="1"/>
        <d v="2025-09-02T13:57:17" u="1"/>
        <d v="2025-09-02T14:59:35" u="1"/>
        <d v="2025-09-02T15:06:22" u="1"/>
        <d v="2025-09-02T15:41:06" u="1"/>
        <d v="2025-09-02T16:03:08" u="1"/>
        <d v="2025-09-02T16:09:15" u="1"/>
        <d v="2025-09-02T16:28:33" u="1"/>
        <d v="2025-09-02T16:48:46" u="1"/>
        <d v="2025-09-02T16:54:33" u="1"/>
        <d v="2025-09-02T17:13:42" u="1"/>
        <d v="2025-09-02T17:15:22" u="1"/>
        <d v="2025-09-02T17:27:15" u="1"/>
        <d v="2025-09-02T17:43:53" u="1"/>
        <d v="2025-09-02T17:46:54" u="1"/>
        <d v="2025-09-02T17:59:08" u="1"/>
        <d v="2025-09-02T18:06:10" u="1"/>
        <d v="2025-09-02T18:20:31" u="1"/>
        <d v="2025-09-02T18:21:35" u="1"/>
        <d v="2025-09-02T19:03:18" u="1"/>
        <d v="2025-09-02T19:03:42" u="1"/>
        <d v="2025-09-02T19:05:20" u="1"/>
        <d v="2025-09-02T19:24:11" u="1"/>
        <d v="2025-09-02T19:47:08" u="1"/>
        <d v="2025-09-02T19:54:57" u="1"/>
        <d v="2025-09-02T20:01:01" u="1"/>
        <d v="2025-09-02T20:33:55" u="1"/>
        <d v="2025-09-02T20:40:35" u="1"/>
        <d v="2025-09-02T20:46:31" u="1"/>
        <d v="2025-09-02T20:50:25" u="1"/>
        <d v="2025-09-02T22:37:13" u="1"/>
        <d v="2025-09-02T23:00:04" u="1"/>
        <d v="2025-09-02T23:45:49" u="1"/>
        <d v="2025-09-03T00:07:10" u="1"/>
        <d v="2025-09-03T00:21:14" u="1"/>
        <d v="2025-09-03T01:25:24" u="1"/>
        <d v="2025-09-03T02:39:47" u="1"/>
        <d v="2025-09-03T02:40:03" u="1"/>
        <d v="2025-09-03T03:12:50" u="1"/>
        <d v="2025-09-03T05:21:43" u="1"/>
        <d v="2025-09-03T05:31:36" u="1"/>
        <d v="2025-09-03T05:47:06" u="1"/>
        <d v="2025-09-03T06:05:57" u="1"/>
        <d v="2025-09-03T06:06:06" u="1"/>
        <d v="2025-09-03T06:26:56" u="1"/>
        <d v="2025-09-03T08:40:17" u="1"/>
        <d v="2025-09-03T12:14:28" u="1"/>
        <d v="2025-09-03T13:59:27" u="1"/>
        <d v="2025-09-03T14:02:48" u="1"/>
        <d v="2025-09-03T14:09:44" u="1"/>
        <d v="2025-09-03T15:50:06" u="1"/>
        <d v="2025-09-03T16:16:20" u="1"/>
        <d v="2025-09-03T16:46:10" u="1"/>
        <d v="2025-09-03T16:49:54" u="1"/>
        <d v="2025-09-03T18:26:57" u="1"/>
        <d v="2025-09-03T18:31:57" u="1"/>
        <d v="2025-09-03T18:38:24" u="1"/>
        <d v="2025-09-03T19:25:22" u="1"/>
        <d v="2025-09-03T19:32:12" u="1"/>
        <d v="2025-09-03T20:04:05" u="1"/>
        <d v="2025-09-03T20:17:27" u="1"/>
        <d v="2025-09-03T20:44:07" u="1"/>
        <d v="2025-09-03T21:20:47" u="1"/>
        <d v="2025-09-03T22:07:00" u="1"/>
        <d v="2025-09-03T23:59:04" u="1"/>
        <d v="2025-09-04T00:59:01" u="1"/>
        <d v="2025-09-04T01:30:14" u="1"/>
        <d v="2025-09-04T01:37:31" u="1"/>
        <d v="2025-09-04T05:23:05" u="1"/>
        <d v="2025-09-04T05:33:53" u="1"/>
        <d v="2025-09-04T05:35:44" u="1"/>
        <d v="2025-09-04T15:16:12" u="1"/>
        <d v="2025-09-04T15:35:30" u="1"/>
        <d v="2025-09-04T16:43:50" u="1"/>
        <d v="2025-09-04T16:52:33" u="1"/>
        <d v="2025-09-04T18:21:10" u="1"/>
        <d v="2025-09-04T18:37:20" u="1"/>
        <d v="2025-09-04T18:47:42" u="1"/>
        <d v="2025-09-04T19:04:30" u="1"/>
        <d v="2025-09-04T19:09:33" u="1"/>
        <d v="2025-09-04T19:15:06" u="1"/>
        <d v="2025-09-04T19:19:28" u="1"/>
        <d v="2025-09-04T20:26:49" u="1"/>
        <d v="2025-09-04T20:29:02" u="1"/>
        <d v="2025-09-04T20:37:20" u="1"/>
        <d v="2025-09-04T20:43:02" u="1"/>
        <d v="2025-09-04T20:48:11" u="1"/>
        <d v="2025-09-04T22:09:44" u="1"/>
        <d v="2025-09-04T22:12:45" u="1"/>
        <d v="2025-09-04T22:14:35" u="1"/>
        <d v="2025-09-04T22:15:27" u="1"/>
        <d v="2025-09-04T22:20:54" u="1"/>
        <d v="2025-09-04T22:23:13" u="1"/>
        <d v="2025-09-04T22:37:35" u="1"/>
        <d v="2025-09-04T22:48:32" u="1"/>
        <d v="2025-09-04T22:53:17" u="1"/>
        <d v="2025-09-04T22:58:50" u="1"/>
        <d v="2025-09-04T23:12:26" u="1"/>
        <d v="2025-09-04T23:14:11" u="1"/>
        <d v="2025-09-05T00:22:28" u="1"/>
        <d v="2025-09-05T05:16:07" u="1"/>
        <d v="2025-09-05T05:55:40" u="1"/>
        <d v="2025-09-05T06:31:01" u="1"/>
        <d v="2025-09-05T06:52:39" u="1"/>
        <d v="2025-09-05T18:14:40" u="1"/>
        <d v="2025-09-05T23:39:40" u="1"/>
        <d v="2025-09-06T00:13:06" u="1"/>
        <d v="2025-09-06T00:43:08" u="1"/>
        <d v="2025-09-06T01:41:27" u="1"/>
        <d v="2025-09-06T01:50:49" u="1"/>
        <d v="2025-09-06T02:44:55" u="1"/>
        <d v="2025-09-06T03:41:28" u="1"/>
        <d v="2025-09-06T07:25:29" u="1"/>
        <d v="2025-09-06T16:59:56" u="1"/>
        <d v="2025-09-06T18:30:47" u="1"/>
        <d v="2025-09-06T18:40:47" u="1"/>
        <d v="2025-09-06T19:44:56" u="1"/>
        <d v="2025-09-06T19:53:05" u="1"/>
        <d v="2025-09-07T01:52:24" u="1"/>
        <d v="2025-09-07T02:01:55" u="1"/>
        <d v="2025-09-07T03:42:21" u="1"/>
        <d v="2025-09-07T06:45:25" u="1"/>
        <d v="2025-09-07T07:48:01" u="1"/>
        <d v="2025-09-07T07:56:32" u="1"/>
        <d v="2025-09-07T11:59:56" u="1"/>
        <d v="2025-09-07T12:01:01" u="1"/>
        <d v="2025-09-07T12:25:46" u="1"/>
        <d v="2025-09-07T13:03:56" u="1"/>
        <d v="2025-09-07T15:04:12" u="1"/>
        <d v="2025-09-07T16:39:10" u="1"/>
        <d v="2025-09-07T18:41:43" u="1"/>
        <d v="2025-09-07T18:56:37" u="1"/>
        <d v="2025-09-07T19:02:02" u="1"/>
        <d v="2025-09-07T20:49:56" u="1"/>
        <d v="2025-09-08T15:20:25" u="1"/>
        <d v="2025-09-08T15:26:52" u="1"/>
        <d v="2025-09-08T19:55:49" u="1"/>
        <d v="2025-09-08T19:58:34" u="1"/>
        <d v="2025-09-08T20:00:51" u="1"/>
        <d v="2025-09-08T20:41:45" u="1"/>
        <d v="2025-09-08T20:42:26" u="1"/>
        <d v="2025-09-08T21:28:07" u="1"/>
        <d v="2025-09-08T22:53:31" u="1"/>
        <d v="2025-09-09T00:57:34" u="1"/>
        <d v="2025-09-09T02:40:12" u="1"/>
        <d v="2025-09-09T02:52:59" u="1"/>
        <d v="2025-09-09T03:24:17" u="1"/>
        <d v="2025-09-09T05:54:01" u="1"/>
        <d v="2025-09-09T08:07:41" u="1"/>
        <d v="2025-09-09T08:10:33" u="1"/>
        <d v="2025-09-09T08:22:27" u="1"/>
        <d v="2025-09-09T09:25:05" u="1"/>
        <d v="2025-09-09T11:39:59" u="1"/>
        <d v="2025-09-09T13:46:32" u="1"/>
        <d v="2025-09-09T15:20:47" u="1"/>
        <d v="2025-09-09T15:23:15" u="1"/>
        <d v="2025-09-09T16:36:13" u="1"/>
        <d v="2025-09-09T17:39:29" u="1"/>
        <d v="2025-09-09T18:43:31" u="1"/>
        <d v="2025-09-09T19:49:09" u="1"/>
        <d v="2025-09-09T20:10:01" u="1"/>
        <d v="2025-09-09T20:52:06" u="1"/>
        <d v="2025-09-09T21:39:38" u="1"/>
        <d v="2025-09-09T21:39:40" u="1"/>
        <d v="2025-09-09T21:42:21" u="1"/>
        <d v="2025-09-09T21:42:27" u="1"/>
        <d v="2025-09-09T22:02:19" u="1"/>
        <d v="2025-09-09T22:27:18" u="1"/>
        <d v="2025-09-09T22:58:18" u="1"/>
        <d v="2025-09-09T23:03:03" u="1"/>
        <d v="2025-09-09T23:55:45" u="1"/>
        <d v="2025-09-10T00:01:24" u="1"/>
        <d v="2025-09-10T00:02:06" u="1"/>
        <d v="2025-09-10T00:22:18" u="1"/>
        <d v="2025-09-10T00:22:20" u="1"/>
        <d v="2025-09-10T00:46:29" u="1"/>
        <d v="2025-09-10T01:49:19" u="1"/>
        <d v="2025-09-10T02:10:39" u="1"/>
        <d v="2025-09-10T02:43:27" u="1"/>
        <d v="2025-09-10T05:13:24" u="1"/>
        <d v="2025-09-10T05:43:54" u="1"/>
        <d v="2025-09-10T07:06:52" u="1"/>
        <d v="2025-09-10T11:13:06" u="1"/>
        <d v="2025-09-10T11:56:39" u="1"/>
        <d v="2025-09-10T12:16:01" u="1"/>
        <d v="2025-09-10T13:08:45" u="1"/>
        <d v="2025-09-10T13:26:12" u="1"/>
        <d v="2025-09-10T14:53:28" u="1"/>
        <d v="2025-09-10T14:57:02" u="1"/>
        <d v="2025-09-10T15:37:08" u="1"/>
        <d v="2025-09-10T15:55:27" u="1"/>
        <d v="2025-09-10T16:23:32" u="1"/>
        <d v="2025-09-10T16:27:47" u="1"/>
        <d v="2025-09-10T16:51:38" u="1"/>
        <d v="2025-09-10T16:53:42" u="1"/>
        <d v="2025-09-10T17:00:32" u="1"/>
        <d v="2025-09-10T17:02:51" u="1"/>
        <d v="2025-09-10T17:06:35" u="1"/>
        <d v="2025-09-10T17:10:10" u="1"/>
        <d v="2025-09-10T17:15:52" u="1"/>
        <d v="2025-09-10T18:02:12" u="1"/>
        <d v="2025-09-10T18:04:01" u="1"/>
        <d v="2025-09-10T18:05:23" u="1"/>
        <d v="2025-09-10T18:09:08" u="1"/>
        <d v="2025-09-10T18:31:38" u="1"/>
        <d v="2025-09-10T19:02:20" u="1"/>
        <d v="2025-09-10T20:38:59" u="1"/>
        <d v="2025-09-10T20:58:56" u="1"/>
        <d v="2025-09-10T21:00:19" u="1"/>
        <d v="2025-09-10T21:35:17" u="1"/>
        <d v="2025-09-10T21:41:48" u="1"/>
        <d v="2025-09-10T21:54:50" u="1"/>
        <d v="2025-09-10T22:01:16" u="1"/>
        <d v="2025-09-10T23:10:45" u="1"/>
        <d v="2025-09-10T23:46:46" u="1"/>
        <d v="2025-09-10T23:47:17" u="1"/>
        <d v="2025-09-10T23:54:09" u="1"/>
        <d v="2025-09-11T01:08:26" u="1"/>
        <d v="2025-09-11T02:20:55" u="1"/>
        <d v="2025-09-11T02:33:12" u="1"/>
        <d v="2025-09-11T03:13:14" u="1"/>
        <d v="2025-09-11T06:59:38" u="1"/>
        <d v="2025-09-11T13:15:11" u="1"/>
        <d v="2025-09-11T14:22:49" u="1"/>
        <d v="2025-09-11T15:00:10" u="1"/>
        <d v="2025-09-11T15:57:32" u="1"/>
        <d v="2025-09-11T16:18:35" u="1"/>
        <d v="2025-09-11T18:14:03" u="1"/>
        <d v="2025-09-11T19:02:08" u="1"/>
        <d v="2025-09-11T19:02:14" u="1"/>
        <d v="2025-09-11T19:02:36" u="1"/>
        <d v="2025-09-11T19:59:27" u="1"/>
        <d v="2025-09-11T20:00:49" u="1"/>
        <d v="2025-09-11T20:01:24" u="1"/>
        <d v="2025-09-11T20:01:33" u="1"/>
        <d v="2025-09-11T20:07:00" u="1"/>
        <d v="2025-09-11T20:50:58" u="1"/>
        <d v="2025-09-11T21:03:12" u="1"/>
        <d v="2025-09-11T22:01:50" u="1"/>
        <d v="2025-09-11T22:37:59" u="1"/>
        <d v="2025-09-11T23:11:27" u="1"/>
        <d v="2025-09-12T00:19:14" u="1"/>
        <d v="2025-09-12T01:08:23" u="1"/>
        <d v="2025-09-12T01:53:50" u="1"/>
        <d v="2025-09-12T02:18:07" u="1"/>
        <d v="2025-09-12T02:30:03" u="1"/>
        <d v="2025-09-12T02:30:26" u="1"/>
        <d v="2025-09-12T03:33:13" u="1"/>
        <d v="2025-09-12T04:12:36" u="1"/>
        <d v="2025-09-12T04:34:51" u="1"/>
        <d v="2025-09-12T05:17:29" u="1"/>
        <d v="2025-09-12T05:18:38" u="1"/>
        <d v="2025-09-12T05:19:34" u="1"/>
        <d v="2025-09-12T05:25:07" u="1"/>
        <d v="2025-09-12T05:25:15" u="1"/>
        <d v="2025-09-12T05:28:39" u="1"/>
        <d v="2025-09-12T05:28:47" u="1"/>
        <d v="2025-09-12T05:45:08" u="1"/>
        <d v="2025-09-12T06:04:14" u="1"/>
        <d v="2025-09-12T06:09:12" u="1"/>
        <d v="2025-09-12T06:13:02" u="1"/>
        <d v="2025-09-12T06:13:06" u="1"/>
        <d v="2025-09-12T06:15:02" u="1"/>
        <d v="2025-09-12T06:32:04" u="1"/>
        <d v="2025-09-12T07:00:34" u="1"/>
        <d v="2025-09-12T09:22:24" u="1"/>
        <d v="2025-09-12T14:27:24" u="1"/>
        <d v="2025-09-12T15:25:53" u="1"/>
        <d v="2025-09-12T16:08:37" u="1"/>
        <d v="2025-09-12T16:09:44" u="1"/>
        <d v="2025-09-12T16:36:46" u="1"/>
        <d v="2025-09-12T16:42:06" u="1"/>
        <d v="2025-09-12T17:44:50" u="1"/>
        <d v="2025-09-12T18:03:33" u="1"/>
        <d v="2025-09-12T18:05:43" u="1"/>
        <d v="2025-09-12T18:05:53" u="1"/>
        <d v="2025-09-12T18:09:00" u="1"/>
        <d v="2025-09-12T18:10:10" u="1"/>
        <d v="2025-09-12T18:17:11" u="1"/>
        <d v="2025-09-12T20:06:58" u="1"/>
        <d v="2025-09-12T20:07:17" u="1"/>
        <d v="2025-09-12T20:07:24" u="1"/>
        <d v="2025-09-12T21:30:34" u="1"/>
        <d v="2025-09-12T21:38:59" u="1"/>
        <d v="2025-09-12T22:03:57" u="1"/>
        <d v="2025-09-12T22:36:21" u="1"/>
        <d v="2025-09-12T23:24:25" u="1"/>
        <d v="2025-09-13T00:17:30" u="1"/>
        <d v="2025-09-13T00:50:55" u="1"/>
        <d v="2025-09-13T03:57:47" u="1"/>
        <d v="2025-09-13T04:38:40" u="1"/>
        <d v="2025-09-13T04:53:42" u="1"/>
        <d v="2025-09-13T06:08:13" u="1"/>
        <d v="2025-09-13T06:17:47" u="1"/>
        <d v="2025-09-13T06:25:23" u="1"/>
        <d v="2025-09-13T06:28:46" u="1"/>
        <d v="2025-09-13T06:28:49" u="1"/>
        <d v="2025-09-13T06:36:06" u="1"/>
        <d v="2025-09-13T07:00:20" u="1"/>
        <d v="2025-09-13T07:12:13" u="1"/>
        <d v="2025-09-13T07:59:06" u="1"/>
        <d v="2025-09-13T08:03:44" u="1"/>
        <d v="2025-09-13T08:13:10" u="1"/>
        <d v="2025-09-13T08:19:24" u="1"/>
        <d v="2025-09-13T08:58:04" u="1"/>
        <d v="2025-09-13T08:58:25" u="1"/>
        <d v="2025-09-13T09:40:43" u="1"/>
        <d v="2025-09-13T11:20:12" u="1"/>
        <d v="2025-09-13T13:40:50" u="1"/>
        <d v="2025-09-13T14:18:05" u="1"/>
        <d v="2025-09-13T16:12:32" u="1"/>
        <d v="2025-09-13T17:03:32" u="1"/>
        <d v="2025-09-14T01:05:28" u="1"/>
        <d v="2025-09-14T06:58:59" u="1"/>
        <d v="2025-09-14T09:32:40" u="1"/>
        <d v="2025-09-14T09:40:22" u="1"/>
        <d v="2025-09-14T10:04:21" u="1"/>
        <d v="2025-09-14T11:16:32" u="1"/>
        <d v="2025-09-14T11:17:03" u="1"/>
        <d v="2025-09-14T19:40:26" u="1"/>
        <d v="2025-09-14T23:59:11" u="1"/>
        <d v="2025-09-15T00:00:26" u="1"/>
        <d v="2025-09-15T00:16:03" u="1"/>
        <d v="2025-09-15T00:34:33" u="1"/>
        <d v="2025-09-15T00:41:25" u="1"/>
        <d v="2025-09-15T01:02:12" u="1"/>
        <d v="2025-09-15T01:22:30" u="1"/>
        <d v="2025-09-15T01:27:24" u="1"/>
        <d v="2025-09-15T02:00:53" u="1"/>
        <d v="2025-09-15T02:20:44" u="1"/>
        <d v="2025-09-15T02:28:51" u="1"/>
        <d v="2025-09-15T03:27:16" u="1"/>
        <d v="2025-09-15T03:43:39" u="1"/>
        <d v="2025-09-15T03:59:28" u="1"/>
        <d v="2025-09-15T04:01:17" u="1"/>
        <d v="2025-09-15T04:11:28" u="1"/>
        <d v="2025-09-15T04:13:32" u="1"/>
        <d v="2025-09-15T04:31:34" u="1"/>
        <d v="2025-09-15T04:32:30" u="1"/>
        <d v="2025-09-15T04:32:57" u="1"/>
        <d v="2025-09-15T04:33:43" u="1"/>
        <d v="2025-09-15T04:40:59" u="1"/>
        <d v="2025-09-15T05:19:45" u="1"/>
        <d v="2025-09-15T05:48:36" u="1"/>
        <d v="2025-09-15T06:00:51" u="1"/>
        <d v="2025-09-15T07:07:22" u="1"/>
        <d v="2025-09-15T09:32:27" u="1"/>
        <d v="2025-09-15T09:33:32" u="1"/>
        <d v="2025-09-15T10:33:08" u="1"/>
        <d v="2025-09-15T12:59:03" u="1"/>
        <d v="2025-09-15T14:18:46" u="1"/>
        <d v="2025-09-15T14:46:16" u="1"/>
        <d v="2025-09-15T15:38:00" u="1"/>
        <d v="2025-09-15T17:17:19" u="1"/>
        <d v="2025-09-15T19:31:18" u="1"/>
        <d v="2025-09-15T19:56:26" u="1"/>
        <d v="2025-09-15T22:14:14" u="1"/>
        <d v="2025-09-15T22:17:41" u="1"/>
        <d v="2025-09-15T23:58:17" u="1"/>
        <d v="2025-09-16T00:37:21" u="1"/>
        <d v="2025-09-16T02:02:38" u="1"/>
        <d v="2025-09-16T02:11:56" u="1"/>
        <d v="2025-09-16T02:17:23" u="1"/>
        <d v="2025-09-16T02:32:15" u="1"/>
        <d v="2025-09-16T03:07:47" u="1"/>
        <d v="2025-09-16T03:51:30" u="1"/>
        <d v="2025-09-16T04:47:19" u="1"/>
        <d v="2025-09-16T05:03:35" u="1"/>
        <d v="2025-09-16T06:00:14" u="1"/>
        <d v="2025-09-16T06:00:17" u="1"/>
        <d v="2025-09-16T06:01:21" u="1"/>
        <d v="2025-09-16T06:17:56" u="1"/>
        <d v="2025-09-16T07:01:36" u="1"/>
        <d v="2025-09-16T07:41:17" u="1"/>
        <d v="2025-09-16T08:19:23" u="1"/>
        <d v="2025-09-16T08:37:34" u="1"/>
        <d v="2025-09-16T09:40:26" u="1"/>
        <d v="2025-09-16T12:53:44" u="1"/>
        <d v="2025-09-16T13:42:06" u="1"/>
        <d v="2025-09-16T15:14:08" u="1"/>
        <d v="2025-09-16T15:15:34" u="1"/>
        <d v="2025-09-16T16:20:41" u="1"/>
        <d v="2025-09-16T16:43:01" u="1"/>
        <d v="2025-09-16T16:55:25" u="1"/>
        <d v="2025-09-16T17:25:29" u="1"/>
        <d v="2025-09-16T17:42:35" u="1"/>
        <d v="2025-09-16T18:15:47" u="1"/>
        <d v="2025-09-16T18:22:26" u="1"/>
        <d v="2025-09-16T18:53:01" u="1"/>
        <d v="2025-09-16T19:00:06" u="1"/>
        <d v="2025-09-16T19:29:53" u="1"/>
        <d v="2025-09-16T19:57:54" u="1"/>
        <d v="2025-09-16T20:15:04" u="1"/>
        <d v="2025-09-16T20:28:40" u="1"/>
        <d v="2025-09-16T21:28:34" u="1"/>
        <d v="2025-09-16T21:52:55" u="1"/>
        <d v="2025-09-16T22:38:43" u="1"/>
        <d v="2025-09-16T23:09:48" u="1"/>
        <d v="2025-09-16T23:24:39" u="1"/>
        <d v="2025-09-16T23:35:23" u="1"/>
        <d v="2025-09-17T00:13:43" u="1"/>
        <d v="2025-09-17T01:05:25" u="1"/>
        <d v="2025-09-17T01:25:24" u="1"/>
        <d v="2025-09-17T01:37:01" u="1"/>
        <d v="2025-09-17T01:42:23" u="1"/>
        <d v="2025-09-17T02:16:39" u="1"/>
        <d v="2025-09-17T02:42:41" u="1"/>
        <d v="2025-09-17T02:56:10" u="1"/>
        <d v="2025-09-17T03:17:13" u="1"/>
        <d v="2025-09-17T03:17:58" u="1"/>
        <d v="2025-09-17T04:48:32" u="1"/>
        <d v="2025-09-17T06:21:32" u="1"/>
        <d v="2025-09-17T06:23:18" u="1"/>
        <d v="2025-09-17T06:36:08" u="1"/>
        <d v="2025-09-17T07:02:31" u="1"/>
        <d v="2025-09-17T07:22:58" u="1"/>
        <d v="2025-09-17T08:40:22" u="1"/>
        <d v="2025-09-17T08:40:52" u="1"/>
        <d v="2025-09-17T08:41:00" u="1"/>
        <d v="2025-09-17T09:19:03" u="1"/>
        <d v="2025-09-17T09:41:28" u="1"/>
        <d v="2025-09-17T09:50:05" u="1"/>
        <d v="2025-09-17T10:09:12" u="1"/>
        <d v="2025-09-17T10:28:03" u="1"/>
        <d v="2025-09-17T10:30:35" u="1"/>
        <d v="2025-09-17T11:40:05" u="1"/>
        <d v="2025-09-17T12:50:14" u="1"/>
        <d v="2025-09-17T14:15:39" u="1"/>
        <d v="2025-09-17T14:57:52" u="1"/>
        <d v="2025-09-17T15:10:07" u="1"/>
        <d v="2025-09-17T16:14:22" u="1"/>
        <d v="2025-09-17T16:14:55" u="1"/>
        <d v="2025-09-17T18:48:24" u="1"/>
        <d v="2025-09-17T19:54:28" u="1"/>
        <d v="2025-09-17T20:43:33" u="1"/>
        <d v="2025-09-17T20:46:10" u="1"/>
        <d v="2025-09-17T20:49:10" u="1"/>
        <d v="2025-09-17T20:51:50" u="1"/>
        <d v="2025-09-17T20:59:05" u="1"/>
        <d v="2025-09-17T21:00:10" u="1"/>
        <d v="2025-09-17T21:03:09" u="1"/>
        <d v="2025-09-17T21:04:04" u="1"/>
        <d v="2025-09-17T21:20:13" u="1"/>
        <d v="2025-09-17T21:42:51" u="1"/>
        <d v="2025-09-17T22:00:17" u="1"/>
        <d v="2025-09-17T22:03:11" u="1"/>
        <d v="2025-09-17T22:07:34" u="1"/>
        <d v="2025-09-17T22:10:56" u="1"/>
        <d v="2025-09-17T23:11:37" u="1"/>
        <d v="2025-09-17T23:12:02" u="1"/>
        <d v="2025-09-18T00:02:19" u="1"/>
        <d v="2025-09-18T00:08:43" u="1"/>
        <d v="2025-09-18T00:21:31" u="1"/>
        <d v="2025-09-18T05:31:35" u="1"/>
        <d v="2025-09-18T05:32:01" u="1"/>
        <d v="2025-09-18T06:03:27" u="1"/>
        <d v="2025-09-18T06:44:03" u="1"/>
        <d v="2025-09-18T07:06:38" u="1"/>
        <d v="2025-09-18T07:08:47" u="1"/>
        <d v="2025-09-18T07:10:27" u="1"/>
        <d v="2025-09-18T07:11:20" u="1"/>
        <d v="2025-09-18T07:13:57" u="1"/>
        <d v="2025-09-18T07:14:27" u="1"/>
        <d v="2025-09-18T07:19:10" u="1"/>
        <d v="2025-09-18T07:20:29" u="1"/>
        <d v="2025-09-18T07:21:37" u="1"/>
        <d v="2025-09-18T08:01:06" u="1"/>
        <d v="2025-09-18T08:18:02" u="1"/>
        <d v="2025-09-18T08:53:07" u="1"/>
        <d v="2025-09-18T10:22:20" u="1"/>
        <d v="2025-09-18T10:38:38" u="1"/>
        <d v="2025-09-18T12:34:15" u="1"/>
        <d v="2025-09-18T13:31:55" u="1"/>
        <d v="2025-09-18T14:15:25" u="1"/>
        <d v="2025-09-18T14:16:04" u="1"/>
        <d v="2025-09-18T14:27:21" u="1"/>
        <d v="2025-09-18T14:40:59" u="1"/>
        <d v="2025-09-18T14:55:16" u="1"/>
        <d v="2025-09-18T15:36:37" u="1"/>
        <d v="2025-09-18T15:59:09" u="1"/>
        <d v="2025-09-18T16:04:34" u="1"/>
        <d v="2025-09-18T16:07:18" u="1"/>
        <d v="2025-09-18T16:22:56" u="1"/>
        <d v="2025-09-18T16:33:49" u="1"/>
        <d v="2025-09-18T16:38:44" u="1"/>
        <d v="2025-09-18T16:45:23" u="1"/>
        <d v="2025-09-18T17:12:56" u="1"/>
        <d v="2025-09-18T17:17:18" u="1"/>
        <d v="2025-09-18T17:30:35" u="1"/>
        <d v="2025-09-18T17:39:23" u="1"/>
        <d v="2025-09-18T18:29:30" u="1"/>
        <d v="2025-09-18T19:24:51" u="1"/>
        <d v="2025-09-18T20:39:18" u="1"/>
        <d v="2025-09-18T21:04:08" u="1"/>
        <d v="2025-09-18T22:35:54" u="1"/>
        <d v="2025-09-18T23:04:03" u="1"/>
        <d v="2025-09-18T23:09:23" u="1"/>
        <d v="2025-09-18T23:34:13" u="1"/>
        <d v="2025-09-19T00:08:27" u="1"/>
        <d v="2025-09-19T00:10:48" u="1"/>
        <d v="2025-09-19T00:11:55" u="1"/>
        <d v="2025-09-19T00:38:20" u="1"/>
        <d v="2025-09-19T01:32:59" u="1"/>
        <d v="2025-09-19T02:27:23" u="1"/>
        <d v="2025-09-19T02:43:34" u="1"/>
        <d v="2025-09-19T02:44:09" u="1"/>
        <d v="2025-09-19T03:04:42" u="1"/>
        <d v="2025-09-19T03:42:29" u="1"/>
        <d v="2025-09-19T03:42:47" u="1"/>
        <d v="2025-09-19T03:45:18" u="1"/>
        <d v="2025-09-19T04:35:06" u="1"/>
        <d v="2025-09-19T04:43:36" u="1"/>
        <d v="2025-09-19T05:50:48" u="1"/>
        <d v="2025-09-19T06:40:38" u="1"/>
        <d v="2025-09-19T12:50:19" u="1"/>
        <d v="2025-09-19T13:40:00" u="1"/>
        <d v="2025-09-19T17:03:19" u="1"/>
        <d v="2025-09-19T19:03:12" u="1"/>
        <d v="2025-09-19T19:45:38" u="1"/>
        <d v="2025-09-19T19:52:22" u="1"/>
        <d v="2025-09-19T20:27:44" u="1"/>
        <d v="2025-09-19T20:59:26" u="1"/>
        <d v="2025-09-19T21:17:04" u="1"/>
        <d v="2025-09-19T21:18:26" u="1"/>
        <d v="2025-09-19T21:18:28" u="1"/>
        <d v="2025-09-19T21:18:53" u="1"/>
        <d v="2025-09-19T21:55:56" u="1"/>
        <d v="2025-09-19T22:00:06" u="1"/>
        <d v="2025-09-19T22:39:49" u="1"/>
        <d v="2025-09-19T22:41:25" u="1"/>
        <d v="2025-09-20T00:35:02" u="1"/>
        <d v="2025-09-20T03:21:27" u="1"/>
        <d v="2025-09-20T07:40:36" u="1"/>
        <d v="2025-09-20T13:39:15" u="1"/>
        <d v="2025-09-20T13:58:02" u="1"/>
        <d v="2025-09-20T14:50:36" u="1"/>
        <d v="2025-09-20T19:03:37" u="1"/>
        <d v="2025-09-20T19:39:25" u="1"/>
        <d v="2025-09-20T19:41:08" u="1"/>
        <d v="2025-09-20T19:42:00" u="1"/>
        <d v="2025-09-20T19:42:08" u="1"/>
        <d v="2025-09-20T19:49:40" u="1"/>
        <d v="2025-09-20T22:28:12" u="1"/>
        <d v="2025-09-20T22:28:32" u="1"/>
        <d v="2025-09-20T22:37:55" u="1"/>
        <d v="2025-09-20T22:49:30" u="1"/>
        <d v="2025-09-21T02:45:29" u="1"/>
        <d v="2025-09-21T02:53:18" u="1"/>
        <d v="2025-09-21T03:51:43" u="1"/>
        <d v="2025-09-21T05:45:30" u="1"/>
        <d v="2025-09-21T05:47:40" u="1"/>
        <d v="2025-09-21T05:49:20" u="1"/>
        <d v="2025-09-21T05:51:15" u="1"/>
        <d v="2025-09-21T05:57:03" u="1"/>
        <d v="2025-09-21T05:58:54" u="1"/>
        <d v="2025-09-21T06:00:21" u="1"/>
        <d v="2025-09-21T06:00:53" u="1"/>
        <d v="2025-09-21T06:14:17" u="1"/>
        <d v="2025-09-21T06:53:59" u="1"/>
        <d v="2025-09-21T07:17:26" u="1"/>
        <d v="2025-09-21T08:01:55" u="1"/>
        <d v="2025-09-21T10:40:08" u="1"/>
        <d v="2025-09-21T10:48:49" u="1"/>
        <d v="2025-09-21T17:42:04" u="1"/>
        <d v="2025-09-21T19:52:40" u="1"/>
        <d v="2025-09-21T21:58:17" u="1"/>
        <d v="2025-09-22T04:29:10" u="1"/>
        <d v="2025-09-22T05:12:53" u="1"/>
        <d v="2025-09-22T11:50:08" u="1"/>
        <d v="2025-09-22T15:02:34" u="1"/>
        <d v="2025-09-22T15:42:46" u="1"/>
        <d v="2025-09-22T18:06:25" u="1"/>
        <d v="2025-09-22T18:15:34" u="1"/>
        <d v="2025-09-22T19:27:26" u="1"/>
        <d v="2025-09-22T19:36:44" u="1"/>
        <d v="2025-09-22T20:36:24" u="1"/>
        <d v="2025-09-22T21:51:28" u="1"/>
        <d v="2025-09-23T00:45:11" u="1"/>
        <d v="2025-09-23T00:47:33" u="1"/>
        <d v="2025-09-23T01:00:22" u="1"/>
        <d v="2025-09-23T01:05:32" u="1"/>
        <d v="2025-09-23T02:59:16" u="1"/>
        <d v="2025-09-23T04:10:29" u="1"/>
        <d v="2025-09-23T06:06:41" u="1"/>
        <d v="2025-09-23T06:07:49" u="1"/>
        <d v="2025-09-23T06:26:39" u="1"/>
        <d v="2025-09-23T07:28:01" u="1"/>
        <d v="2025-09-23T07:28:32" u="1"/>
        <d v="2025-09-23T07:31:03" u="1"/>
        <d v="2025-09-23T08:05:31" u="1"/>
        <d v="2025-09-23T08:06:23" u="1"/>
        <d v="2025-09-23T08:10:39" u="1"/>
        <d v="2025-09-23T08:11:04" u="1"/>
        <d v="2025-09-23T08:13:19" u="1"/>
        <d v="2025-09-23T08:55:07" u="1"/>
        <d v="2025-09-23T09:07:49" u="1"/>
        <d v="2025-09-23T16:05:27" u="1"/>
        <d v="2025-09-23T18:19:03" u="1"/>
        <d v="2025-09-23T18:41:42" u="1"/>
        <d v="2025-09-23T21:40:43" u="1"/>
        <d v="2025-09-23T22:06:22" u="1"/>
        <d v="2025-09-23T22:30:32" u="1"/>
        <d v="2025-09-23T23:36:40" u="1"/>
        <d v="2025-09-24T00:14:30" u="1"/>
        <d v="2025-09-24T02:14:06" u="1"/>
        <d v="2025-09-24T03:16:16" u="1"/>
        <d v="2025-09-24T04:26:30" u="1"/>
        <d v="2025-09-24T06:43:07" u="1"/>
        <d v="2025-09-24T13:44:24" u="1"/>
        <d v="2025-09-24T14:03:21" u="1"/>
        <d v="2025-09-24T16:31:54" u="1"/>
        <d v="2025-09-24T16:47:49" u="1"/>
        <d v="2025-09-24T17:07:43" u="1"/>
        <d v="2025-09-24T17:16:57" u="1"/>
        <d v="2025-09-24T18:21:15" u="1"/>
        <d v="2025-09-24T18:33:39" u="1"/>
        <d v="2025-09-24T18:45:33" u="1"/>
        <d v="2025-09-24T18:54:35" u="1"/>
        <d v="2025-09-24T19:02:51" u="1"/>
        <d v="2025-09-24T19:42:51" u="1"/>
        <d v="2025-09-24T19:47:58" u="1"/>
        <d v="2025-09-24T20:33:02" u="1"/>
        <d v="2025-09-24T20:35:38" u="1"/>
        <d v="2025-09-24T21:44:45" u="1"/>
        <d v="2025-09-24T21:56:18" u="1"/>
        <d v="2025-09-24T22:42:19" u="1"/>
        <d v="2025-09-24T22:50:33" u="1"/>
        <d v="2025-09-24T23:22:15" u="1"/>
        <d v="2025-09-24T23:27:04" u="1"/>
        <d v="2025-09-25T00:18:17" u="1"/>
        <d v="2025-09-25T00:26:26" u="1"/>
        <d v="2025-09-25T00:51:35" u="1"/>
        <d v="2025-09-25T01:11:28" u="1"/>
        <d v="2025-09-25T14:38:03" u="1"/>
        <d v="2025-09-25T15:34:27" u="1"/>
        <d v="2025-09-25T15:55:35" u="1"/>
        <d v="2025-09-25T15:56:13" u="1"/>
        <d v="2025-09-25T15:58:56" u="1"/>
        <d v="2025-09-25T16:01:41" u="1"/>
        <d v="2025-09-25T16:12:15" u="1"/>
        <d v="2025-09-25T16:16:27" u="1"/>
        <d v="2025-09-25T16:59:07" u="1"/>
        <d v="2025-09-25T17:02:23" u="1"/>
        <d v="2025-09-25T17:36:53" u="1"/>
        <d v="2025-09-25T18:05:44" u="1"/>
        <d v="2025-09-25T18:45:17" u="1"/>
        <d v="2025-09-25T19:13:45" u="1"/>
        <d v="2025-09-25T19:32:53" u="1"/>
        <d v="2025-09-25T19:35:27" u="1"/>
        <d v="2025-09-25T20:24:55" u="1"/>
        <d v="2025-09-25T20:38:30" u="1"/>
        <d v="2025-09-25T21:11:44" u="1"/>
        <d v="2025-09-25T21:24:51" u="1"/>
        <d v="2025-09-25T21:29:31" u="1"/>
        <d v="2025-09-25T22:00:34" u="1"/>
        <d v="2025-09-25T22:03:27" u="1"/>
        <d v="2025-09-25T22:24:37" u="1"/>
        <d v="2025-09-25T22:40:27" u="1"/>
        <d v="2025-09-25T22:40:43" u="1"/>
        <d v="2025-09-25T22:46:46" u="1"/>
        <d v="2025-09-25T22:51:07" u="1"/>
        <d v="2025-09-25T22:57:25" u="1"/>
        <d v="2025-09-25T23:00:11" u="1"/>
        <d v="2025-09-25T23:01:58" u="1"/>
        <d v="2025-09-25T23:02:01" u="1"/>
        <d v="2025-09-25T23:02:53" u="1"/>
        <d v="2025-09-25T23:04:48" u="1"/>
        <d v="2025-09-25T23:19:02" u="1"/>
        <d v="2025-09-25T23:26:57" u="1"/>
        <d v="2025-09-26T00:03:28" u="1"/>
        <d v="2025-09-26T00:21:56" u="1"/>
        <d v="2025-09-26T01:10:05" u="1"/>
        <d v="2025-09-26T01:34:18" u="1"/>
        <d v="2025-09-26T02:21:48" u="1"/>
        <d v="2025-09-26T03:45:49" u="1"/>
        <d v="2025-09-26T04:32:53" u="1"/>
        <d v="2025-09-26T04:33:05" u="1"/>
        <d v="2025-09-26T04:59:02" u="1"/>
        <d v="2025-09-26T09:31:28" u="1"/>
        <d v="2025-09-26T13:42:36" u="1"/>
        <d v="2025-09-26T14:12:18" u="1"/>
        <d v="2025-09-26T14:33:45" u="1"/>
        <d v="2025-09-26T14:44:51" u="1"/>
        <d v="2025-09-26T15:04:02" u="1"/>
        <d v="2025-09-26T18:18:26" u="1"/>
        <d v="2025-09-26T18:22:50" u="1"/>
        <d v="2025-09-26T19:02:31" u="1"/>
        <d v="2025-09-26T19:13:27" u="1"/>
        <d v="2025-09-26T19:14:33" u="1"/>
        <d v="2025-09-26T19:34:17" u="1"/>
        <d v="2025-09-26T20:20:03" u="1"/>
        <d v="2025-09-26T20:44:17" u="1"/>
        <d v="2025-09-26T20:45:45" u="1"/>
        <d v="2025-09-26T20:56:06" u="1"/>
        <d v="2025-09-26T21:09:07" u="1"/>
        <d v="2025-09-26T21:46:50" u="1"/>
        <d v="2025-09-26T21:46:57" u="1"/>
        <d v="2025-09-26T21:47:32" u="1"/>
        <d v="2025-09-26T21:48:02" u="1"/>
        <d v="2025-09-26T22:04:12" u="1"/>
        <d v="2025-09-26T22:07:26" u="1"/>
        <d v="2025-09-26T22:08:03" u="1"/>
        <d v="2025-09-26T22:09:49" u="1"/>
        <d v="2025-09-26T22:41:19" u="1"/>
        <d v="2025-09-26T22:58:01" u="1"/>
        <d v="2025-09-26T23:01:06" u="1"/>
        <d v="2025-09-26T23:01:53" u="1"/>
        <d v="2025-09-26T23:01:56" u="1"/>
        <d v="2025-09-26T23:03:30" u="1"/>
        <d v="2025-09-26T23:05:32" u="1"/>
        <d v="2025-09-26T23:09:23" u="1"/>
        <d v="2025-09-26T23:23:29" u="1"/>
        <d v="2025-09-26T23:30:41" u="1"/>
        <d v="2025-09-27T00:12:45" u="1"/>
        <d v="2025-09-27T00:17:09" u="1"/>
        <d v="2025-09-27T00:47:03" u="1"/>
        <d v="2025-09-27T01:05:30" u="1"/>
        <d v="2025-09-27T01:05:43" u="1"/>
        <d v="2025-09-27T01:44:31" u="1"/>
        <d v="2025-09-27T01:57:45" u="1"/>
        <d v="2025-09-27T02:06:59" u="1"/>
        <d v="2025-09-27T02:10:45" u="1"/>
        <d v="2025-09-27T02:23:07" u="1"/>
        <d v="2025-09-27T02:35:03" u="1"/>
        <d v="2025-09-27T03:00:01" u="1"/>
        <d v="2025-09-27T03:51:20" u="1"/>
        <d v="2025-09-27T03:53:59" u="1"/>
        <d v="2025-09-27T03:54:17" u="1"/>
        <d v="2025-09-27T04:30:08" u="1"/>
        <d v="2025-09-27T04:36:33" u="1"/>
        <d v="2025-09-27T05:14:06" u="1"/>
        <d v="2025-09-27T05:36:19" u="1"/>
        <d v="2025-09-27T06:13:20" u="1"/>
        <d v="2025-09-27T06:56:49" u="1"/>
        <d v="2025-09-27T07:43:04" u="1"/>
        <d v="2025-09-27T07:55:52" u="1"/>
        <d v="2025-09-27T10:04:05" u="1"/>
        <d v="2025-09-27T11:08:33" u="1"/>
        <d v="2025-09-27T11:37:24" u="1"/>
        <d v="2025-09-27T13:51:53" u="1"/>
        <d v="2025-09-27T13:52:15" u="1"/>
        <d v="2025-09-27T14:32:56" u="1"/>
        <d v="2025-09-27T14:52:09" u="1"/>
        <d v="2025-09-27T16:05:14" u="1"/>
        <d v="2025-09-27T17:11:43" u="1"/>
        <d v="2025-09-27T17:19:16" u="1"/>
        <d v="2025-09-27T17:59:12" u="1"/>
        <d v="2025-09-27T18:03:44" u="1"/>
        <d v="2025-09-27T18:49:00" u="1"/>
        <d v="2025-09-27T19:11:58" u="1"/>
        <d v="2025-09-27T19:25:06" u="1"/>
        <d v="2025-09-27T19:25:09" u="1"/>
        <d v="2025-09-27T20:08:22" u="1"/>
        <d v="2025-09-27T20:27:19" u="1"/>
        <d v="2025-09-27T21:00:21" u="1"/>
        <d v="2025-09-27T22:19:13" u="1"/>
        <d v="2025-09-27T22:46:22" u="1"/>
        <d v="2025-09-27T22:54:16" u="1"/>
        <d v="2025-09-27T23:06:22" u="1"/>
        <d v="2025-09-28T02:53:27" u="1"/>
        <d v="2025-09-28T06:58:22" u="1"/>
        <d v="2025-09-28T07:01:59" u="1"/>
        <d v="2025-09-28T07:09:45" u="1"/>
        <d v="2025-09-28T07:25:43" u="1"/>
        <d v="2025-09-28T08:21:52" u="1"/>
        <d v="2025-09-28T09:23:19" u="1"/>
        <d v="2025-09-28T10:03:00" u="1"/>
        <d v="2025-09-28T15:26:32" u="1"/>
        <d v="2025-09-28T21:28:01" u="1"/>
        <d v="2025-09-28T22:25:18" u="1"/>
        <d v="2025-09-29T00:00:47" u="1"/>
        <d v="2025-09-29T00:01:14" u="1"/>
        <d v="2025-09-29T02:12:01" u="1"/>
        <d v="2025-09-29T02:16:16" u="1"/>
        <d v="2025-09-29T02:16:41" u="1"/>
        <d v="2025-09-29T02:17:53" u="1"/>
        <d v="2025-09-29T06:05:10" u="1"/>
        <d v="2025-09-29T08:24:50" u="1"/>
        <d v="2025-09-29T12:08:16" u="1"/>
        <d v="2025-09-29T15:15:38" u="1"/>
        <d v="2025-09-29T15:53:01" u="1"/>
        <d v="2025-09-29T16:11:59" u="1"/>
        <d v="2025-09-29T16:12:43" u="1"/>
        <d v="2025-09-29T16:13:45" u="1"/>
        <d v="2025-09-29T16:15:09" u="1"/>
        <d v="2025-09-29T16:36:16" u="1"/>
        <d v="2025-09-29T17:38:12" u="1"/>
        <d v="2025-09-29T18:26:52" u="1"/>
        <d v="2025-09-29T18:28:36" u="1"/>
        <d v="2025-09-29T19:11:38" u="1"/>
        <d v="2025-09-29T19:42:53" u="1"/>
        <d v="2025-09-29T19:45:21" u="1"/>
        <d v="2025-09-29T19:57:46" u="1"/>
        <d v="2025-09-29T20:00:11" u="1"/>
        <d v="2025-09-29T20:20:52" u="1"/>
        <d v="2025-09-29T20:33:57" u="1"/>
        <d v="2025-09-29T21:02:07" u="1"/>
        <d v="2025-09-29T21:02:45" u="1"/>
        <d v="2025-09-29T21:31:35" u="1"/>
        <d v="2025-09-29T21:35:47" u="1"/>
        <d v="2025-09-29T21:59:19" u="1"/>
        <d v="2025-09-29T22:18:53" u="1"/>
        <d v="2025-09-29T22:46:35" u="1"/>
        <d v="2025-09-29T22:53:38" u="1"/>
        <d v="2025-09-29T22:58:27" u="1"/>
        <d v="2025-09-29T23:24:20" u="1"/>
        <d v="2025-09-29T23:25:20" u="1"/>
        <d v="2025-09-29T23:36:16" u="1"/>
        <d v="2025-09-30T00:04:26" u="1"/>
        <d v="2025-09-30T00:04:56" u="1"/>
        <d v="2025-09-30T00:09:38" u="1"/>
        <d v="2025-09-30T00:44:04" u="1"/>
        <d v="2025-09-30T00:52:16" u="1"/>
        <d v="2025-09-30T01:24:56" u="1"/>
        <d v="2025-09-30T01:38:11" u="1"/>
        <d v="2025-09-30T01:45:22" u="1"/>
        <d v="2025-09-30T02:31:53" u="1"/>
        <d v="2025-09-30T02:45:36" u="1"/>
        <d v="2025-09-30T02:47:36" u="1"/>
        <d v="2025-09-30T02:52:18" u="1"/>
        <d v="2025-09-30T02:55:57" u="1"/>
        <d v="2025-09-30T02:57:23" u="1"/>
        <d v="2025-09-30T03:00:12" u="1"/>
        <d v="2025-09-30T03:02:32" u="1"/>
        <d v="2025-09-30T03:03:40" u="1"/>
        <d v="2025-09-30T03:06:55" u="1"/>
        <d v="2025-09-30T03:19:52" u="1"/>
        <d v="2025-09-30T03:20:52" u="1"/>
        <d v="2025-09-30T03:30:36" u="1"/>
        <d v="2025-09-30T03:55:18" u="1"/>
        <d v="2025-09-30T04:04:30" u="1"/>
        <d v="2025-09-30T04:12:41" u="1"/>
        <d v="2025-09-30T09:43:08" u="1"/>
        <d v="2025-09-30T14:40:26" u="1"/>
        <d v="2025-09-30T15:48:08" u="1"/>
        <d v="2025-09-30T17:01:17" u="1"/>
        <d v="2025-09-30T17:16:58" u="1"/>
        <d v="2025-09-30T17:29:31" u="1"/>
        <d v="2025-09-30T17:40:00" u="1"/>
        <d v="2025-09-30T17:41:26" u="1"/>
        <d v="2025-09-30T18:14:56" u="1"/>
        <d v="2025-09-30T18:17:31" u="1"/>
        <d v="2025-09-30T18:24:31" u="1"/>
        <d v="2025-09-30T18:29:22" u="1"/>
        <d v="2025-09-30T18:37:46" u="1"/>
        <d v="2025-09-30T18:45:03" u="1"/>
        <d v="2025-09-30T19:01:24" u="1"/>
        <d v="2025-09-30T19:27:54" u="1"/>
        <d v="2025-09-30T21:25:45" u="1"/>
        <d v="2025-09-30T22:07:03" u="1"/>
        <d v="2025-09-30T22:09:53" u="1"/>
        <d v="2025-09-30T23:11:34" u="1"/>
        <d v="2025-09-30T23:12:31" u="1"/>
        <d v="2025-09-30T23:45:03" u="1"/>
      </sharedItems>
      <fieldGroup par="10"/>
    </cacheField>
    <cacheField name="cameraCount" numFmtId="0">
      <sharedItems containsSemiMixedTypes="0" containsString="0" containsNumber="1" containsInteger="1" minValue="0" maxValue="93054"/>
    </cacheField>
    <cacheField name="reason" numFmtId="0">
      <sharedItems containsMixedTypes="1" containsNumber="1" containsInteger="1" minValue="25" maxValue="25211480" count="174">
        <s v="uuv"/>
        <s v="Investigation"/>
        <s v="loc wanted subj"/>
        <s v="fucc"/>
        <s v="theft"/>
        <s v="Test"/>
        <s v="icac"/>
        <s v="sex abuse"/>
        <s v="dept of treas"/>
        <s v="burg"/>
        <s v="reckless driving"/>
        <s v="stolen plate"/>
        <s v="stolen"/>
        <s v="stabbing"/>
        <s v="rape"/>
        <s v="officer safety"/>
        <s v="ofcr saf"/>
        <s v="ofcr safety"/>
        <s v="stolen car"/>
        <s v="Daytime search for best result"/>
        <s v="stolen vehicle"/>
        <n v="25154601"/>
        <n v="25151671"/>
        <s v="safe info"/>
        <s v="atl"/>
        <s v="missing person"/>
        <s v="Atm theft"/>
        <s v="stolen veh"/>
        <s v="uuv 2504317"/>
        <s v="flock test usage"/>
        <n v="2504317"/>
        <s v="flock test"/>
        <s v="harassment"/>
        <s v="DA Investigator"/>
        <s v="attempted uuv"/>
        <s v="ATT UUV"/>
        <s v="menacing with a"/>
        <s v="menacing with a gun"/>
        <s v="shooting"/>
        <s v="assault"/>
        <s v="fire inv"/>
        <s v="suspect"/>
        <s v="Fire"/>
        <s v="Murder"/>
        <s v="25-4567"/>
        <s v="GRID SEARCH FOR LV/"/>
        <s v="GRID SEARCH FOR LV"/>
        <n v="2504567"/>
        <s v="UUV TRACKING"/>
        <s v="training"/>
        <s v="ALBANY UUF"/>
        <s v="ALBANY UUV"/>
        <s v="DA Investigator Request"/>
        <s v="robbery"/>
        <s v="uuv case"/>
        <s v="Rob"/>
        <s v="Hom"/>
        <s v="homicide"/>
        <s v="rob1"/>
        <s v="vinyl theft"/>
        <s v="miss pers"/>
        <n v="2504795"/>
        <s v="theft suspect"/>
        <s v="investigative"/>
        <s v="da invest request"/>
        <s v="Treasury Request"/>
        <s v="uuv 2518772"/>
        <s v="mybrrm"/>
        <s v="stolen vehic"/>
        <n v="25"/>
        <n v="2504945"/>
        <s v="2505004 missing person"/>
        <s v="Follow Up"/>
        <s v="stlen"/>
        <s v="case"/>
        <s v="SUSPECT VEHICLE"/>
        <s v="theft of license plate"/>
        <s v="elude"/>
        <s v="ATL Vehicle"/>
        <s v="OPEN ATL"/>
        <s v="Shooting suspect"/>
        <s v="ACTIVE ATL"/>
        <s v="ACTIVE A"/>
        <s v="25-5236"/>
        <s v="25-5385"/>
        <s v="susp cond"/>
        <n v="2505390"/>
        <s v="da invest req"/>
        <n v="2505236"/>
        <n v="25208447"/>
        <s v="unsigned stolen"/>
        <s v="ACTIVR ATL"/>
        <n v="25203826"/>
        <s v="ort"/>
        <n v="25211480"/>
        <s v="VA133G"/>
        <s v="public indecency"/>
        <s v="pub ind"/>
        <s v="duii"/>
        <n v="2505660"/>
        <s v="theft 1"/>
        <s v="DA inv"/>
        <s v="SUSPECT VEH"/>
        <s v="invesigative"/>
        <s v="hit and run"/>
        <s v="lcso hr"/>
        <s v="lcso case"/>
        <s v="1S21"/>
        <s v="inestigative"/>
        <s v="ivestigative"/>
        <s v="investigativ"/>
        <s v="pursuit"/>
        <s v="FELONY DWS"/>
        <s v="invetigative"/>
        <s v="ATL FELONY DWS"/>
        <s v="STOLEN VEHICLE ATL"/>
        <n v="2505929"/>
        <s v="RECKLESS DRIVER"/>
        <s v="Susp veh"/>
        <s v="SEX CRIME BOLO"/>
        <s v="072dua"/>
        <s v="STOLEN ATL"/>
        <s v="185TWW"/>
        <s v="armed subj"/>
        <s v="dispute"/>
        <s v="VANCOUVER STABBING"/>
        <s v="ofcr oros"/>
        <s v="testing"/>
        <s v="oros"/>
        <s v="vro"/>
        <s v="MISSING JUVENILE"/>
        <s v="MISSING JUV"/>
        <s v="welfare check"/>
        <s v="Theft 1 lisp"/>
        <s v="uuv 239028"/>
        <s v="ATL CHILD ABUSE"/>
        <s v="trsps"/>
        <s v="006MBD"/>
        <s v="25-242729"/>
        <s v="fraud"/>
        <s v="354lct"/>
        <s v="Test new camera"/>
        <s v="test new cam"/>
        <s v="test new cams"/>
        <s v="ASLT"/>
        <s v="atl vehicle murder suspect"/>
        <s v="warrant"/>
        <s v="SUICIDAL SUBJ"/>
        <s v="network test"/>
        <s v="inevstigative"/>
        <s v="pc elude"/>
        <s v="law enforce"/>
        <s v="law enforcement"/>
        <s v="theft s/ veh"/>
        <s v="theft s/ vehicle"/>
        <s v="atldk"/>
        <s v="theft susp"/>
        <s v="dv"/>
        <s v="CHKWLF"/>
        <s v="dws felony"/>
        <s v="child abuse"/>
        <s v="site test"/>
        <s v="SUICIDAL SUBJECT"/>
        <s v="SUICIDALSUBJECT"/>
        <s v="SUISUB"/>
        <s v="Stolen Vehicles"/>
        <s v="Stolen vehicles lane county"/>
        <s v="551qjz"/>
        <s v="hitand run"/>
        <s v="assault 4"/>
        <s v="Uuw"/>
        <s v="Located Wanted Fugitive"/>
        <n v="2514277" u="1"/>
        <n v="2508068" u="1"/>
      </sharedItems>
    </cacheField>
    <cacheField name="derived-searchDatePST" numFmtId="164">
      <sharedItems containsSemiMixedTypes="0" containsNonDate="0" containsDate="1" containsString="0" minDate="2025-05-30T08:22:05" maxDate="2025-10-11T05:20:06" count="8000">
        <d v="2025-05-30T08:22:05"/>
        <d v="2025-06-03T15:35:58"/>
        <d v="2025-06-03T14:32:58"/>
        <d v="2025-06-03T13:59:09"/>
        <d v="2025-06-03T13:00:40"/>
        <d v="2025-06-03T12:55:50"/>
        <d v="2025-06-03T11:38:18"/>
        <d v="2025-06-02T15:47:27"/>
        <d v="2025-06-02T09:13:47"/>
        <d v="2025-06-02T08:16:28"/>
        <d v="2025-06-02T07:58:08"/>
        <d v="2025-06-01T14:05:44"/>
        <d v="2025-05-30T13:46:09"/>
        <d v="2025-05-30T09:25:46"/>
        <d v="2025-06-04T15:35:16"/>
        <d v="2025-06-04T15:48:37"/>
        <d v="2025-06-05T09:11:06"/>
        <d v="2025-06-05T11:05:53"/>
        <d v="2025-06-05T12:17:00"/>
        <d v="2025-06-05T13:10:21"/>
        <d v="2025-06-05T15:00:30"/>
        <d v="2025-06-06T07:25:05"/>
        <d v="2025-06-06T07:31:22"/>
        <d v="2025-06-06T08:17:59"/>
        <d v="2025-06-06T08:18:56"/>
        <d v="2025-06-06T08:53:54"/>
        <d v="2025-06-06T10:27:22"/>
        <d v="2025-06-08T20:36:24"/>
        <d v="2025-06-09T07:51:57"/>
        <d v="2025-06-09T09:59:27"/>
        <d v="2025-06-09T10:01:32"/>
        <d v="2025-06-09T14:49:44"/>
        <d v="2025-06-09T15:51:30"/>
        <d v="2025-06-10T13:38:03"/>
        <d v="2025-06-11T00:17:39"/>
        <d v="2025-06-11T09:02:24"/>
        <d v="2025-06-11T11:44:54"/>
        <d v="2025-06-11T12:08:41"/>
        <d v="2025-06-11T15:45:58"/>
        <d v="2025-06-11T15:48:24"/>
        <d v="2025-06-16T06:32:16"/>
        <d v="2025-06-16T07:39:57"/>
        <d v="2025-06-16T09:40:44"/>
        <d v="2025-06-17T07:43:48"/>
        <d v="2025-06-17T08:16:07"/>
        <d v="2025-06-17T08:23:37"/>
        <d v="2025-06-17T09:17:25"/>
        <d v="2025-06-17T10:13:43"/>
        <d v="2025-06-17T10:14:12"/>
        <d v="2025-06-18T06:18:36"/>
        <d v="2025-06-18T07:26:43"/>
        <d v="2025-06-18T08:27:58"/>
        <d v="2025-06-18T09:10:47"/>
        <d v="2025-06-18T10:31:56"/>
        <d v="2025-06-18T10:34:39"/>
        <d v="2025-06-18T10:48:08"/>
        <d v="2025-06-18T11:35:57"/>
        <d v="2025-06-18T11:39:47"/>
        <d v="2025-06-18T11:56:41"/>
        <d v="2025-06-18T12:33:51"/>
        <d v="2025-06-18T12:51:35"/>
        <d v="2025-06-18T14:07:12"/>
        <d v="2025-06-18T14:22:07"/>
        <d v="2025-06-19T07:53:04"/>
        <d v="2025-06-19T09:13:14"/>
        <d v="2025-06-19T12:05:33"/>
        <d v="2025-06-20T12:54:54"/>
        <d v="2025-06-20T12:56:48"/>
        <d v="2025-06-20T12:57:00"/>
        <d v="2025-06-20T12:57:57"/>
        <d v="2025-06-22T09:22:48"/>
        <d v="2025-06-24T17:47:57"/>
        <d v="2025-06-27T07:21:35"/>
        <d v="2025-06-27T15:35:17"/>
        <d v="2025-06-28T21:30:11"/>
        <d v="2025-06-29T11:07:23"/>
        <d v="2025-06-29T11:07:56"/>
        <d v="2025-06-29T11:10:25"/>
        <d v="2025-06-29T11:14:55"/>
        <d v="2025-06-29T11:35:17"/>
        <d v="2025-06-29T11:38:04"/>
        <d v="2025-06-29T14:00:25"/>
        <d v="2025-06-30T04:12:36"/>
        <d v="2025-06-30T04:13:04"/>
        <d v="2025-06-30T23:15:30"/>
        <d v="2025-06-30T23:19:45"/>
        <d v="2025-07-02T07:44:02"/>
        <d v="2025-07-02T08:04:10"/>
        <d v="2025-07-02T09:07:05"/>
        <d v="2025-07-03T07:20:22"/>
        <d v="2025-07-03T08:14:23"/>
        <d v="2025-07-03T12:18:23"/>
        <d v="2025-07-04T06:34:49"/>
        <d v="2025-07-04T07:23:15"/>
        <d v="2025-07-04T08:05:44"/>
        <d v="2025-07-04T09:09:19"/>
        <d v="2025-07-04T12:57:17"/>
        <d v="2025-07-04T13:30:29"/>
        <d v="2025-07-04T14:38:46"/>
        <d v="2025-07-04T14:40:22"/>
        <d v="2025-07-06T19:24:28"/>
        <d v="2025-07-06T19:24:34"/>
        <d v="2025-07-06T20:16:36"/>
        <d v="2025-07-06T20:35:14"/>
        <d v="2025-07-06T21:00:12"/>
        <d v="2025-07-08T07:24:26"/>
        <d v="2025-07-09T07:53:52"/>
        <d v="2025-07-09T11:01:10"/>
        <d v="2025-07-09T12:00:23"/>
        <d v="2025-07-09T13:06:14"/>
        <d v="2025-07-09T13:18:20"/>
        <d v="2025-07-09T14:04:36"/>
        <d v="2025-07-09T14:25:40"/>
        <d v="2025-07-09T15:00:24"/>
        <d v="2025-07-09T16:00:07"/>
        <d v="2025-07-09T16:10:24"/>
        <d v="2025-07-09T16:11:08"/>
        <d v="2025-07-09T17:00:03"/>
        <d v="2025-07-09T17:03:05"/>
        <d v="2025-07-09T17:07:02"/>
        <d v="2025-07-09T17:54:47"/>
        <d v="2025-07-09T18:00:13"/>
        <d v="2025-07-09T18:00:44"/>
        <d v="2025-07-09T18:25:45"/>
        <d v="2025-07-09T19:01:12"/>
        <d v="2025-07-09T20:02:49"/>
        <d v="2025-07-09T20:04:34"/>
        <d v="2025-07-09T20:24:45"/>
        <d v="2025-07-09T20:33:23"/>
        <d v="2025-07-09T21:00:29"/>
        <d v="2025-07-09T21:26:35"/>
        <d v="2025-07-09T21:50:17"/>
        <d v="2025-07-09T22:27:03"/>
        <d v="2025-07-09T23:23:44"/>
        <d v="2025-07-10T00:02:05"/>
        <d v="2025-07-10T01:28:29"/>
        <d v="2025-07-10T01:41:26"/>
        <d v="2025-07-10T01:41:55"/>
        <d v="2025-07-10T01:43:18"/>
        <d v="2025-07-10T01:45:22"/>
        <d v="2025-07-10T02:03:32"/>
        <d v="2025-07-10T02:07:17"/>
        <d v="2025-07-10T03:11:12"/>
        <d v="2025-07-10T03:12:05"/>
        <d v="2025-07-10T05:18:11"/>
        <d v="2025-07-10T05:38:04"/>
        <d v="2025-07-10T06:06:56"/>
        <d v="2025-07-10T06:11:49"/>
        <d v="2025-07-10T06:42:06"/>
        <d v="2025-07-10T07:01:04"/>
        <d v="2025-07-10T09:18:57"/>
        <d v="2025-07-10T09:23:34"/>
        <d v="2025-07-10T10:25:39"/>
        <d v="2025-07-10T10:26:15"/>
        <d v="2025-07-10T10:57:56"/>
        <d v="2025-07-10T11:01:46"/>
        <d v="2025-07-10T11:40:45"/>
        <d v="2025-07-10T11:57:12"/>
        <d v="2025-07-10T12:38:01"/>
        <d v="2025-07-11T00:41:19"/>
        <d v="2025-07-11T00:50:15"/>
        <d v="2025-07-11T00:50:26"/>
        <d v="2025-07-11T00:52:51"/>
        <d v="2025-07-11T05:01:23"/>
        <d v="2025-07-11T05:01:33"/>
        <d v="2025-07-11T08:55:56"/>
        <d v="2025-07-11T10:20:11"/>
        <d v="2025-07-11T12:57:34"/>
        <d v="2025-07-11T21:55:16"/>
        <d v="2025-07-14T06:59:55"/>
        <d v="2025-07-14T07:04:19"/>
        <d v="2025-07-15T07:21:18"/>
        <d v="2025-07-15T07:25:05"/>
        <d v="2025-07-15T08:19:40"/>
        <d v="2025-07-16T07:40:36"/>
        <d v="2025-07-16T07:46:29"/>
        <d v="2025-07-16T08:00:02"/>
        <d v="2025-07-16T10:30:16"/>
        <d v="2025-07-16T17:30:02"/>
        <d v="2025-07-16T18:24:04"/>
        <d v="2025-07-16T19:06:50"/>
        <d v="2025-07-16T19:31:58"/>
        <d v="2025-07-16T20:02:25"/>
        <d v="2025-07-16T21:07:38"/>
        <d v="2025-07-17T06:15:05"/>
        <d v="2025-07-17T07:42:36"/>
        <d v="2025-07-17T08:18:21"/>
        <d v="2025-07-17T08:55:00"/>
        <d v="2025-07-17T09:09:27"/>
        <d v="2025-07-17T11:04:59"/>
        <d v="2025-07-17T12:00:27"/>
        <d v="2025-07-17T12:18:40"/>
        <d v="2025-07-17T12:44:07"/>
        <d v="2025-07-17T13:58:41"/>
        <d v="2025-07-17T15:31:08"/>
        <d v="2025-07-18T04:03:19"/>
        <d v="2025-07-19T02:19:58"/>
        <d v="2025-07-19T02:23:20"/>
        <d v="2025-07-20T16:16:22"/>
        <d v="2025-07-20T16:27:56"/>
        <d v="2025-07-20T17:30:27"/>
        <d v="2025-07-20T18:04:41"/>
        <d v="2025-07-20T23:39:32"/>
        <d v="2025-07-21T08:09:05"/>
        <d v="2025-07-21T08:16:28"/>
        <d v="2025-07-21T14:20:57"/>
        <d v="2025-07-21T19:57:05"/>
        <d v="2025-07-22T00:35:17"/>
        <d v="2025-07-22T00:36:37"/>
        <d v="2025-07-22T07:43:38"/>
        <d v="2025-07-22T14:24:17"/>
        <d v="2025-07-22T15:04:25"/>
        <d v="2025-07-22T15:04:48"/>
        <d v="2025-07-23T07:33:50"/>
        <d v="2025-07-24T07:41:07"/>
        <d v="2025-07-24T09:42:01"/>
        <d v="2025-07-24T13:03:26"/>
        <d v="2025-07-25T07:46:27"/>
        <d v="2025-07-25T07:46:47"/>
        <d v="2025-07-25T07:47:43"/>
        <d v="2025-07-25T13:40:52"/>
        <d v="2025-07-25T13:41:35"/>
        <d v="2025-07-25T20:10:24"/>
        <d v="2025-07-25T22:57:58"/>
        <d v="2025-07-25T23:04:15"/>
        <d v="2025-07-26T08:31:56"/>
        <d v="2025-07-26T20:00:28"/>
        <d v="2025-07-26T21:35:19"/>
        <d v="2025-07-27T05:40:09"/>
        <d v="2025-07-27T14:30:11"/>
        <d v="2025-07-27T15:08:15"/>
        <d v="2025-07-27T16:14:02"/>
        <d v="2025-07-27T18:38:54"/>
        <d v="2025-07-27T19:42:09"/>
        <d v="2025-07-27T21:55:44"/>
        <d v="2025-07-27T22:18:18"/>
        <d v="2025-07-28T02:02:15"/>
        <d v="2025-07-28T07:46:05"/>
        <d v="2025-07-28T08:04:31"/>
        <d v="2025-07-28T08:06:42"/>
        <d v="2025-07-28T12:36:50"/>
        <d v="2025-07-29T07:25:52"/>
        <d v="2025-07-29T11:43:52"/>
        <d v="2025-07-29T17:11:02"/>
        <d v="2025-07-29T23:09:12"/>
        <d v="2025-07-30T06:15:26"/>
        <d v="2025-08-01T07:40:26"/>
        <d v="2025-08-02T05:50:59"/>
        <d v="2025-08-02T06:40:16"/>
        <d v="2025-08-02T09:43:16"/>
        <d v="2025-08-02T09:45:11"/>
        <d v="2025-08-02T11:29:37"/>
        <d v="2025-08-04T13:16:08"/>
        <d v="2025-08-05T08:43:07"/>
        <d v="2025-08-06T09:36:35"/>
        <d v="2025-08-06T09:55:55"/>
        <d v="2025-08-06T12:26:18"/>
        <d v="2025-08-06T12:29:42"/>
        <d v="2025-08-06T15:06:32"/>
        <d v="2025-08-06T15:42:07"/>
        <d v="2025-08-06T16:15:49"/>
        <d v="2025-08-07T07:06:31"/>
        <d v="2025-08-07T07:07:53"/>
        <d v="2025-08-07T08:05:40"/>
        <d v="2025-08-07T09:22:48"/>
        <d v="2025-08-07T10:28:22"/>
        <d v="2025-08-07T11:18:57"/>
        <d v="2025-08-07T12:19:46"/>
        <d v="2025-08-07T12:20:10"/>
        <d v="2025-08-07T13:15:53"/>
        <d v="2025-08-07T13:38:04"/>
        <d v="2025-08-07T14:54:51"/>
        <d v="2025-08-07T15:55:14"/>
        <d v="2025-08-07T16:55:43"/>
        <d v="2025-08-07T22:58:28"/>
        <d v="2025-08-07T22:59:06"/>
        <d v="2025-08-07T23:00:05"/>
        <d v="2025-08-07T23:04:31"/>
        <d v="2025-08-08T00:25:24"/>
        <d v="2025-08-08T00:37:47"/>
        <d v="2025-08-08T00:40:12"/>
        <d v="2025-08-08T01:00:00"/>
        <d v="2025-08-08T01:01:22"/>
        <d v="2025-08-08T22:12:06"/>
        <d v="2025-08-08T22:23:40"/>
        <d v="2025-08-09T09:00:16"/>
        <d v="2025-08-09T09:16:48"/>
        <d v="2025-08-09T19:58:17"/>
        <d v="2025-08-09T21:04:29"/>
        <d v="2025-08-09T23:03:42"/>
        <d v="2025-08-09T23:37:51"/>
        <d v="2025-08-10T02:39:36"/>
        <d v="2025-08-10T06:06:55"/>
        <d v="2025-08-10T08:45:37"/>
        <d v="2025-08-10T11:15:11"/>
        <d v="2025-08-10T11:17:08"/>
        <d v="2025-08-10T16:37:52"/>
        <d v="2025-08-11T01:51:47"/>
        <d v="2025-08-11T07:27:11"/>
        <d v="2025-08-11T07:42:53"/>
        <d v="2025-08-11T07:54:16"/>
        <d v="2025-08-11T08:01:32"/>
        <d v="2025-08-11T10:18:39"/>
        <d v="2025-08-11T10:46:20"/>
        <d v="2025-08-11T14:50:29"/>
        <d v="2025-08-11T15:00:00"/>
        <d v="2025-08-11T17:19:13"/>
        <d v="2025-08-12T12:09:04"/>
        <d v="2025-08-12T13:02:06"/>
        <d v="2025-08-12T14:17:08"/>
        <d v="2025-08-12T14:29:33"/>
        <d v="2025-08-12T15:24:45"/>
        <d v="2025-08-12T15:26:07"/>
        <d v="2025-08-12T15:32:33"/>
        <d v="2025-08-12T16:00:05"/>
        <d v="2025-08-13T08:45:13"/>
        <d v="2025-08-13T08:52:25"/>
        <d v="2025-08-13T08:54:39"/>
        <d v="2025-08-13T09:07:46"/>
        <d v="2025-08-13T09:23:01"/>
        <d v="2025-08-13T10:00:55"/>
        <d v="2025-08-13T10:24:33"/>
        <d v="2025-08-13T11:20:26"/>
        <d v="2025-08-13T12:21:46"/>
        <d v="2025-08-13T13:45:06"/>
        <d v="2025-08-13T14:00:02"/>
        <d v="2025-08-14T08:44:43"/>
        <d v="2025-08-14T12:02:54"/>
        <d v="2025-08-14T15:00:51"/>
        <d v="2025-08-14T15:20:57"/>
        <d v="2025-08-14T16:14:34"/>
        <d v="2025-08-14T17:22:34"/>
        <d v="2025-08-14T17:23:51"/>
        <d v="2025-08-14T17:40:33"/>
        <d v="2025-08-15T06:26:01"/>
        <d v="2025-08-15T07:31:05"/>
        <d v="2025-08-15T12:12:31"/>
        <d v="2025-08-15T13:40:25"/>
        <d v="2025-08-15T21:33:08"/>
        <d v="2025-08-15T22:12:40"/>
        <d v="2025-08-16T00:17:29"/>
        <d v="2025-08-16T06:26:12"/>
        <d v="2025-08-16T07:24:16"/>
        <d v="2025-08-16T07:42:55"/>
        <d v="2025-08-16T18:57:21"/>
        <d v="2025-08-16T21:39:32"/>
        <d v="2025-08-17T00:34:22"/>
        <d v="2025-08-17T03:13:05"/>
        <d v="2025-08-17T03:13:13"/>
        <d v="2025-08-17T03:14:55"/>
        <d v="2025-08-17T06:09:07"/>
        <d v="2025-08-17T06:09:46"/>
        <d v="2025-08-17T08:15:33"/>
        <d v="2025-08-17T09:06:57"/>
        <d v="2025-08-18T02:01:25"/>
        <d v="2025-08-18T02:12:41"/>
        <d v="2025-08-18T02:14:31"/>
        <d v="2025-08-18T08:02:20"/>
        <d v="2025-08-18T08:22:34"/>
        <d v="2025-08-18T09:06:02"/>
        <d v="2025-08-18T09:27:56"/>
        <d v="2025-08-18T10:30:44"/>
        <d v="2025-08-18T10:35:40"/>
        <d v="2025-08-18T10:42:23"/>
        <d v="2025-08-18T11:06:48"/>
        <d v="2025-08-18T11:28:03"/>
        <d v="2025-08-18T11:31:12"/>
        <d v="2025-08-18T15:37:40"/>
        <d v="2025-08-19T08:08:12"/>
        <d v="2025-08-19T08:31:31"/>
        <d v="2025-08-19T09:30:46"/>
        <d v="2025-08-19T14:03:12"/>
        <d v="2025-08-19T17:09:56"/>
        <d v="2025-08-19T17:31:06"/>
        <d v="2025-08-19T22:28:01"/>
        <d v="2025-08-19T23:34:15"/>
        <d v="2025-08-20T02:09:43"/>
        <d v="2025-08-20T03:20:14"/>
        <d v="2025-08-20T04:13:32"/>
        <d v="2025-08-20T08:46:39"/>
        <d v="2025-08-20T13:15:25"/>
        <d v="2025-08-20T13:17:33"/>
        <d v="2025-08-20T14:03:51"/>
        <d v="2025-08-20T16:06:57"/>
        <d v="2025-08-20T17:51:52"/>
        <d v="2025-08-20T19:07:53"/>
        <d v="2025-08-20T23:56:33"/>
        <d v="2025-08-21T02:02:38"/>
        <d v="2025-08-21T04:39:16"/>
        <d v="2025-08-21T08:30:55"/>
        <d v="2025-08-21T11:22:37"/>
        <d v="2025-08-21T11:23:32"/>
        <d v="2025-08-21T17:33:48"/>
        <d v="2025-08-21T17:34:51"/>
        <d v="2025-08-21T18:34:42"/>
        <d v="2025-08-21T20:33:24"/>
        <d v="2025-08-21T21:57:00"/>
        <d v="2025-08-21T23:15:29"/>
        <d v="2025-08-21T23:26:25"/>
        <d v="2025-08-22T00:03:02"/>
        <d v="2025-08-22T00:11:42"/>
        <d v="2025-08-22T02:00:19"/>
        <d v="2025-08-22T03:12:40"/>
        <d v="2025-08-22T04:38:06"/>
        <d v="2025-08-22T04:40:33"/>
        <d v="2025-08-22T04:59:32"/>
        <d v="2025-08-22T06:42:47"/>
        <d v="2025-08-22T14:18:14"/>
        <d v="2025-08-22T16:04:15"/>
        <d v="2025-08-22T19:39:21"/>
        <d v="2025-08-22T19:40:59"/>
        <d v="2025-08-22T20:28:33"/>
        <d v="2025-08-22T20:52:09"/>
        <d v="2025-08-22T21:06:33"/>
        <d v="2025-08-23T00:01:48"/>
        <d v="2025-08-23T00:14:37"/>
        <d v="2025-08-23T02:00:43"/>
        <d v="2025-08-23T19:52:34"/>
        <d v="2025-08-23T20:19:11"/>
        <d v="2025-08-23T22:26:46"/>
        <d v="2025-08-23T23:45:40"/>
        <d v="2025-08-23T23:49:13"/>
        <d v="2025-08-24T01:19:37"/>
        <d v="2025-08-24T02:00:44"/>
        <d v="2025-08-24T02:01:34"/>
        <d v="2025-08-24T07:00:03"/>
        <d v="2025-08-24T11:59:35"/>
        <d v="2025-08-24T23:50:38"/>
        <d v="2025-08-25T00:18:46"/>
        <d v="2025-08-25T01:02:24"/>
        <d v="2025-08-25T01:38:27"/>
        <d v="2025-08-25T07:37:46"/>
        <d v="2025-08-25T08:25:10"/>
        <d v="2025-08-26T09:09:49"/>
        <d v="2025-08-26T09:10:30"/>
        <d v="2025-08-26T14:49:35"/>
        <d v="2025-08-27T08:22:37"/>
        <d v="2025-08-27T08:50:02"/>
        <d v="2025-08-27T10:17:25"/>
        <d v="2025-08-27T16:12:17"/>
        <d v="2025-08-28T09:28:45"/>
        <d v="2025-08-28T09:46:13"/>
        <d v="2025-08-28T10:00:30"/>
        <d v="2025-08-28T11:02:05"/>
        <d v="2025-08-28T11:08:04"/>
        <d v="2025-08-28T12:17:04"/>
        <d v="2025-08-28T15:32:47"/>
        <d v="2025-08-28T16:07:40"/>
        <d v="2025-08-29T04:33:24"/>
        <d v="2025-08-29T10:56:44"/>
        <d v="2025-08-29T21:26:35"/>
        <d v="2025-08-29T22:44:54"/>
        <d v="2025-08-30T00:17:34"/>
        <d v="2025-08-30T02:07:14"/>
        <d v="2025-08-30T03:00:20"/>
        <d v="2025-08-30T07:27:54"/>
        <d v="2025-08-30T10:50:59"/>
        <d v="2025-08-30T18:00:19"/>
        <d v="2025-08-30T23:02:02"/>
        <d v="2025-08-30T23:56:33"/>
        <d v="2025-08-31T04:42:02"/>
        <d v="2025-08-31T05:17:44"/>
        <d v="2025-08-31T06:10:27"/>
        <d v="2025-08-31T07:40:35"/>
        <d v="2025-08-31T07:59:43"/>
        <d v="2025-08-31T08:00:08"/>
        <d v="2025-08-31T08:07:28"/>
        <d v="2025-08-31T11:26:46"/>
        <d v="2025-08-31T12:54:18"/>
        <d v="2025-08-31T13:28:51"/>
        <d v="2025-09-01T07:17:18"/>
        <d v="2025-09-01T07:37:07"/>
        <d v="2025-09-01T17:25:51"/>
        <d v="2025-09-01T17:27:34"/>
        <d v="2025-09-01T19:16:17"/>
        <d v="2025-09-01T19:17:54"/>
        <d v="2025-09-01T19:19:18"/>
        <d v="2025-09-01T21:01:57"/>
        <d v="2025-09-02T00:57:06"/>
        <d v="2025-09-02T01:00:38"/>
        <d v="2025-09-02T01:02:49"/>
        <d v="2025-09-02T01:13:52"/>
        <d v="2025-09-02T01:44:11"/>
        <d v="2025-09-02T01:52:23"/>
        <d v="2025-09-02T01:54:05"/>
        <d v="2025-09-02T02:58:46"/>
        <d v="2025-09-02T05:05:02"/>
        <d v="2025-09-02T07:50:07"/>
        <d v="2025-09-02T08:10:35"/>
        <d v="2025-09-02T09:19:35"/>
        <d v="2025-09-02T09:25:18"/>
        <d v="2025-09-02T10:09:30"/>
        <d v="2025-09-02T13:10:12"/>
        <d v="2025-09-02T16:02:26"/>
        <d v="2025-09-02T18:47:46"/>
        <d v="2025-09-02T18:51:02"/>
        <d v="2025-09-02T19:03:06"/>
        <d v="2025-09-02T19:45:49"/>
        <d v="2025-09-02T20:46:41"/>
        <d v="2025-09-02T20:49:55"/>
        <d v="2025-09-02T21:01:58"/>
        <d v="2025-09-02T21:23:19"/>
        <d v="2025-09-02T22:18:11"/>
        <d v="2025-09-03T10:17:25"/>
        <d v="2025-09-03T10:56:04"/>
        <d v="2025-09-03T11:38:46"/>
        <d v="2025-09-03T15:20:58"/>
        <d v="2025-09-03T15:21:14"/>
        <d v="2025-09-03T15:21:38"/>
        <d v="2025-09-03T15:37:48"/>
        <d v="2025-09-03T15:42:04"/>
        <d v="2025-09-03T16:09:00"/>
        <d v="2025-09-03T16:32:00"/>
        <d v="2025-09-03T17:09:03"/>
        <d v="2025-09-03T17:09:36"/>
        <d v="2025-09-03T18:31:40"/>
        <d v="2025-09-03T19:21:17"/>
        <d v="2025-09-03T19:22:43"/>
        <d v="2025-09-03T20:05:17"/>
        <d v="2025-09-03T20:49:35"/>
        <d v="2025-09-03T20:51:50"/>
        <d v="2025-09-03T21:35:34"/>
        <d v="2025-09-03T21:36:40"/>
        <d v="2025-09-03T21:36:52"/>
        <d v="2025-09-03T22:27:40"/>
        <d v="2025-09-04T07:08:17"/>
        <d v="2025-09-04T07:57:03"/>
        <d v="2025-09-04T08:12:51"/>
        <d v="2025-09-04T08:25:29"/>
        <d v="2025-09-04T08:57:37"/>
        <d v="2025-09-04T09:00:36"/>
        <d v="2025-09-04T09:00:50"/>
        <d v="2025-09-04T09:05:29"/>
        <d v="2025-09-04T09:05:49"/>
        <d v="2025-09-04T09:13:04"/>
        <d v="2025-09-04T09:32:09"/>
        <d v="2025-09-04T09:52:57"/>
        <d v="2025-09-04T10:01:14"/>
        <d v="2025-09-04T10:06:04"/>
        <d v="2025-09-04T10:40:00"/>
        <d v="2025-09-04T10:41:28"/>
        <d v="2025-09-04T11:04:39"/>
        <d v="2025-09-04T11:09:53"/>
        <d v="2025-09-04T11:26:11"/>
        <d v="2025-09-04T12:02:08"/>
        <d v="2025-09-04T12:39:46"/>
        <d v="2025-09-04T13:27:59"/>
        <d v="2025-09-04T13:48:38"/>
        <d v="2025-09-04T14:22:00"/>
        <d v="2025-09-04T14:44:32"/>
        <d v="2025-09-04T15:35:09"/>
        <d v="2025-09-04T15:38:45"/>
        <d v="2025-09-04T16:53:20"/>
        <d v="2025-09-04T17:19:33"/>
        <d v="2025-09-04T17:20:51"/>
        <d v="2025-09-04T17:48:38"/>
        <d v="2025-09-05T06:45:17"/>
        <d v="2025-09-05T06:45:26"/>
        <d v="2025-09-05T07:56:02"/>
        <d v="2025-09-05T08:07:02"/>
        <d v="2025-09-05T09:18:30"/>
        <d v="2025-09-05T12:53:05"/>
        <d v="2025-09-05T21:15:22"/>
        <d v="2025-09-06T17:43:12"/>
        <d v="2025-09-06T23:08:49"/>
        <d v="2025-09-07T20:09:08"/>
        <d v="2025-09-08T08:33:26"/>
        <d v="2025-09-08T12:01:17"/>
        <d v="2025-09-08T12:32:42"/>
        <d v="2025-09-08T14:46:08"/>
        <d v="2025-09-08T14:52:05"/>
        <d v="2025-09-08T14:58:46"/>
        <d v="2025-09-08T15:06:18"/>
        <d v="2025-09-08T15:13:29"/>
        <d v="2025-09-08T16:02:36"/>
        <d v="2025-09-08T20:57:57"/>
        <d v="2025-09-08T21:29:56"/>
        <d v="2025-09-09T00:39:28"/>
        <d v="2025-09-09T00:43:01"/>
        <d v="2025-09-09T01:25:29"/>
        <d v="2025-09-09T03:05:08"/>
        <d v="2025-09-09T07:24:58"/>
        <d v="2025-09-09T13:03:39"/>
        <d v="2025-09-09T13:43:09"/>
        <d v="2025-09-09T14:01:17"/>
        <d v="2025-09-09T15:11:56"/>
        <d v="2025-09-09T15:23:03"/>
        <d v="2025-09-09T16:48:49"/>
        <d v="2025-09-09T17:19:53"/>
        <d v="2025-09-09T18:52:27"/>
        <d v="2025-09-09T19:13:59"/>
        <d v="2025-09-09T20:25:22"/>
        <d v="2025-09-09T21:35:31"/>
        <d v="2025-09-09T21:39:52"/>
        <d v="2025-09-09T22:10:27"/>
        <d v="2025-09-10T00:04:03"/>
        <d v="2025-09-10T07:28:15"/>
        <d v="2025-09-10T09:26:58"/>
        <d v="2025-09-10T10:17:14"/>
        <d v="2025-09-10T13:31:02"/>
        <d v="2025-09-10T23:12:48"/>
        <d v="2025-09-11T02:16:45"/>
        <d v="2025-09-11T07:38:49"/>
        <d v="2025-09-11T09:54:45"/>
        <d v="2025-09-11T10:09:40"/>
        <d v="2025-09-11T12:28:12"/>
        <d v="2025-09-11T19:54:01"/>
        <d v="2025-09-11T22:23:06"/>
        <d v="2025-09-12T00:59:26"/>
        <d v="2025-09-12T06:51:48"/>
        <d v="2025-09-12T14:37:02"/>
        <d v="2025-09-12T14:42:56"/>
        <d v="2025-09-12T16:07:10"/>
        <d v="2025-09-13T08:19:30"/>
        <d v="2025-09-13T11:14:38"/>
        <d v="2025-09-13T22:02:55"/>
        <d v="2025-09-13T23:11:39"/>
        <d v="2025-09-14T00:26:02"/>
        <d v="2025-09-14T00:27:24"/>
        <d v="2025-09-14T01:07:25"/>
        <d v="2025-09-14T01:49:46"/>
        <d v="2025-09-14T01:55:01"/>
        <d v="2025-09-14T02:02:49"/>
        <d v="2025-09-14T19:57:19"/>
        <d v="2025-09-14T23:09:30"/>
        <d v="2025-09-15T03:02:11"/>
        <d v="2025-09-15T08:18:12"/>
        <d v="2025-09-15T09:56:39"/>
        <d v="2025-09-15T09:56:58"/>
        <d v="2025-09-15T10:16:34"/>
        <d v="2025-09-15T12:54:38"/>
        <d v="2025-09-15T18:36:08"/>
        <d v="2025-09-15T18:37:21"/>
        <d v="2025-09-15T18:54:04"/>
        <d v="2025-09-15T19:20:07"/>
        <d v="2025-09-15T20:28:50"/>
        <d v="2025-09-15T20:30:30"/>
        <d v="2025-09-15T20:30:58"/>
        <d v="2025-09-15T21:16:43"/>
        <d v="2025-09-15T21:20:58"/>
        <d v="2025-09-15T22:10:16"/>
        <d v="2025-09-15T23:14:28"/>
        <d v="2025-09-16T13:13:42"/>
        <d v="2025-09-16T17:02:32"/>
        <d v="2025-09-16T17:02:59"/>
        <d v="2025-09-16T18:04:06"/>
        <d v="2025-09-16T22:26:27"/>
        <d v="2025-09-16T23:03:45"/>
        <d v="2025-09-17T00:14:12"/>
        <d v="2025-09-17T02:36:41"/>
        <d v="2025-09-17T14:39:33"/>
        <d v="2025-09-17T16:23:22"/>
        <d v="2025-09-17T16:30:32"/>
        <d v="2025-09-17T17:41:21"/>
        <d v="2025-09-17T22:59:10"/>
        <d v="2025-09-17T23:07:55"/>
        <d v="2025-09-17T23:09:31"/>
        <d v="2025-09-18T00:05:49"/>
        <d v="2025-09-18T00:14:13"/>
        <d v="2025-09-18T01:29:18"/>
        <d v="2025-09-18T02:16:36"/>
        <d v="2025-09-18T02:47:24"/>
        <d v="2025-09-18T05:20:27"/>
        <d v="2025-09-18T06:25:38"/>
        <d v="2025-09-18T07:23:30"/>
        <d v="2025-09-18T08:02:10"/>
        <d v="2025-09-18T08:05:11"/>
        <d v="2025-09-18T08:14:40"/>
        <d v="2025-09-18T09:24:34"/>
        <d v="2025-09-18T10:33:16"/>
        <d v="2025-09-18T10:54:58"/>
        <d v="2025-09-18T11:26:30"/>
        <d v="2025-09-18T15:36:58"/>
        <d v="2025-09-18T16:00:55"/>
        <d v="2025-09-18T20:12:15"/>
        <d v="2025-09-18T22:46:42"/>
        <d v="2025-09-18T22:48:34"/>
        <d v="2025-09-18T23:00:06"/>
        <d v="2025-09-18T23:19:05"/>
        <d v="2025-09-19T07:48:13"/>
        <d v="2025-09-19T08:57:21"/>
        <d v="2025-09-19T09:02:14"/>
        <d v="2025-09-19T09:08:29"/>
        <d v="2025-09-19T12:33:08"/>
        <d v="2025-09-19T13:07:48"/>
        <d v="2025-09-19T13:32:15"/>
        <d v="2025-09-19T14:09:41"/>
        <d v="2025-09-19T18:30:26"/>
        <d v="2025-09-19T22:58:50"/>
        <d v="2025-09-19T23:53:47"/>
        <d v="2025-09-20T00:03:18"/>
        <d v="2025-09-20T01:09:06"/>
        <d v="2025-09-20T03:29:42"/>
        <d v="2025-09-20T10:35:11"/>
        <d v="2025-09-20T10:35:49"/>
        <d v="2025-09-20T12:42:30"/>
        <d v="2025-09-20T13:56:40"/>
        <d v="2025-09-21T10:58:21"/>
        <d v="2025-09-22T05:31:26"/>
        <d v="2025-09-22T05:31:30"/>
        <d v="2025-09-22T07:44:49"/>
        <d v="2025-09-22T08:09:57"/>
        <d v="2025-09-22T09:09:16"/>
        <d v="2025-09-22T09:32:35"/>
        <d v="2025-09-22T10:06:44"/>
        <d v="2025-09-22T10:12:04"/>
        <d v="2025-09-22T11:15:54"/>
        <d v="2025-09-22T11:16:32"/>
        <d v="2025-09-22T12:18:00"/>
        <d v="2025-09-22T12:19:49"/>
        <d v="2025-09-22T13:29:18"/>
        <d v="2025-09-22T14:17:11"/>
        <d v="2025-09-22T14:30:08"/>
        <d v="2025-09-22T14:38:16"/>
        <d v="2025-09-22T14:57:16"/>
        <d v="2025-09-22T15:00:32"/>
        <d v="2025-09-22T15:23:00"/>
        <d v="2025-09-22T19:05:57"/>
        <d v="2025-09-22T20:06:48"/>
        <d v="2025-09-23T00:52:51"/>
        <d v="2025-09-23T01:23:55"/>
        <d v="2025-09-23T06:43:49"/>
        <d v="2025-09-23T06:45:36"/>
        <d v="2025-09-23T07:08:08"/>
        <d v="2025-09-23T09:09:55"/>
        <d v="2025-09-23T10:13:24"/>
        <d v="2025-09-23T13:01:33"/>
        <d v="2025-09-23T13:02:10"/>
        <d v="2025-09-23T20:47:59"/>
        <d v="2025-09-23T20:48:52"/>
        <d v="2025-09-23T21:00:32"/>
        <d v="2025-09-24T07:32:50"/>
        <d v="2025-09-24T07:43:34"/>
        <d v="2025-09-24T09:40:57"/>
        <d v="2025-09-24T11:07:16"/>
        <d v="2025-09-24T14:36:56"/>
        <d v="2025-09-24T15:05:07"/>
        <d v="2025-09-24T15:09:09"/>
        <d v="2025-09-24T15:28:16"/>
        <d v="2025-09-24T15:40:43"/>
        <d v="2025-09-24T16:06:10"/>
        <d v="2025-09-24T16:20:39"/>
        <d v="2025-09-24T16:33:17"/>
        <d v="2025-09-24T17:09:31"/>
        <d v="2025-09-24T19:51:52"/>
        <d v="2025-09-24T20:46:02"/>
        <d v="2025-09-24T23:07:13"/>
        <d v="2025-09-25T12:39:30"/>
        <d v="2025-09-25T13:00:39"/>
        <d v="2025-09-25T13:26:44"/>
        <d v="2025-09-25T15:28:46"/>
        <d v="2025-09-25T16:07:15"/>
        <d v="2025-09-25T16:08:56"/>
        <d v="2025-09-25T19:53:15"/>
        <d v="2025-09-25T20:27:22"/>
        <d v="2025-09-25T23:25:26"/>
        <d v="2025-09-26T00:50:37"/>
        <d v="2025-09-26T01:21:06"/>
        <d v="2025-09-26T01:24:50"/>
        <d v="2025-09-26T01:26:13"/>
        <d v="2025-09-26T02:59:58"/>
        <d v="2025-09-26T07:11:35"/>
        <d v="2025-09-26T07:42:58"/>
        <d v="2025-09-26T08:46:17"/>
        <d v="2025-09-26T09:01:14"/>
        <d v="2025-09-26T10:42:08"/>
        <d v="2025-09-26T10:53:18"/>
        <d v="2025-09-26T14:51:45"/>
        <d v="2025-09-26T15:00:58"/>
        <d v="2025-09-26T15:27:54"/>
        <d v="2025-09-26T15:41:24"/>
        <d v="2025-09-26T16:15:57"/>
        <d v="2025-09-26T17:24:00"/>
        <d v="2025-09-26T19:47:16"/>
        <d v="2025-09-26T21:30:06"/>
        <d v="2025-09-26T21:30:19"/>
        <d v="2025-09-26T22:50:50"/>
        <d v="2025-09-27T00:46:15"/>
        <d v="2025-09-27T12:03:37"/>
        <d v="2025-09-27T13:37:13"/>
        <d v="2025-09-27T13:38:17"/>
        <d v="2025-09-27T13:40:01"/>
        <d v="2025-09-27T13:40:34"/>
        <d v="2025-09-27T15:53:36"/>
        <d v="2025-09-27T17:07:18"/>
        <d v="2025-09-27T17:55:44"/>
        <d v="2025-09-27T23:01:38"/>
        <d v="2025-09-27T23:13:53"/>
        <d v="2025-09-27T23:49:51"/>
        <d v="2025-09-28T03:19:50"/>
        <d v="2025-09-28T09:10:00"/>
        <d v="2025-09-28T09:11:51"/>
        <d v="2025-09-28T09:47:10"/>
        <d v="2025-09-28T12:37:26"/>
        <d v="2025-09-28T13:04:09"/>
        <d v="2025-09-28T13:18:11"/>
        <d v="2025-09-28T14:35:02"/>
        <d v="2025-09-29T07:08:39"/>
        <d v="2025-09-29T08:03:19"/>
        <d v="2025-09-29T10:18:22"/>
        <d v="2025-09-29T11:55:14"/>
        <d v="2025-09-29T14:35:31"/>
        <d v="2025-09-29T16:00:16"/>
        <d v="2025-09-29T16:07:55"/>
        <d v="2025-09-29T16:08:50"/>
        <d v="2025-09-29T16:15:54"/>
        <d v="2025-09-29T17:18:35"/>
        <d v="2025-09-29T20:03:52"/>
        <d v="2025-09-30T13:40:09"/>
        <d v="2025-09-30T18:20:26"/>
        <d v="2025-09-30T23:28:00"/>
        <d v="2025-10-01T02:34:05"/>
        <d v="2025-10-01T02:38:10"/>
        <d v="2025-10-01T11:22:52"/>
        <d v="2025-10-01T15:41:08"/>
        <d v="2025-10-02T01:25:46"/>
        <d v="2025-10-03T00:00:12"/>
        <d v="2025-10-03T07:57:34"/>
        <d v="2025-10-03T08:00:31"/>
        <d v="2025-10-03T10:32:54"/>
        <d v="2025-10-03T16:21:35"/>
        <d v="2025-10-03T22:28:20"/>
        <d v="2025-10-03T22:29:42"/>
        <d v="2025-10-03T22:30:31"/>
        <d v="2025-10-03T22:41:15"/>
        <d v="2025-10-04T01:33:22"/>
        <d v="2025-10-04T13:36:54"/>
        <d v="2025-10-04T22:16:30"/>
        <d v="2025-10-05T14:58:46"/>
        <d v="2025-10-05T19:02:50"/>
        <d v="2025-10-05T22:22:29"/>
        <d v="2025-10-06T18:02:12"/>
        <d v="2025-10-06T18:03:07"/>
        <d v="2025-10-07T09:09:45"/>
        <d v="2025-10-07T12:18:53"/>
        <d v="2025-10-07T13:50:47"/>
        <d v="2025-10-07T14:02:46"/>
        <d v="2025-10-07T14:13:34"/>
        <d v="2025-10-07T14:13:57"/>
        <d v="2025-10-07T18:04:39"/>
        <d v="2025-10-07T18:04:50"/>
        <d v="2025-10-07T21:06:09"/>
        <d v="2025-10-08T09:19:15"/>
        <d v="2025-10-08T12:32:22"/>
        <d v="2025-10-08T14:12:30"/>
        <d v="2025-10-09T12:35:45"/>
        <d v="2025-10-09T13:46:23"/>
        <d v="2025-10-09T14:13:42"/>
        <d v="2025-10-10T10:42:03"/>
        <d v="2025-10-10T12:49:20"/>
        <d v="2025-10-10T13:38:21"/>
        <d v="2025-10-10T16:10:56"/>
        <d v="2025-10-11T03:18:25"/>
        <d v="2025-10-11T05:20:06"/>
        <d v="2025-06-17T16:02:05" u="1"/>
        <d v="2025-06-17T16:09:13" u="1"/>
        <d v="2025-06-17T16:10:51" u="1"/>
        <d v="2025-06-17T16:16:14" u="1"/>
        <d v="2025-06-17T16:20:59" u="1"/>
        <d v="2025-06-17T16:36:54" u="1"/>
        <d v="2025-06-17T18:09:55" u="1"/>
        <d v="2025-06-17T19:44:20" u="1"/>
        <d v="2025-06-17T20:44:26" u="1"/>
        <d v="2025-06-17T20:57:41" u="1"/>
        <d v="2025-06-17T21:03:09" u="1"/>
        <d v="2025-06-17T21:19:09" u="1"/>
        <d v="2025-06-17T21:27:37" u="1"/>
        <d v="2025-06-17T21:31:09" u="1"/>
        <d v="2025-06-17T22:06:51" u="1"/>
        <d v="2025-06-17T22:50:32" u="1"/>
        <d v="2025-06-18T00:13:12" u="1"/>
        <d v="2025-06-18T00:49:05" u="1"/>
        <d v="2025-06-18T00:49:19" u="1"/>
        <d v="2025-06-18T00:50:23" u="1"/>
        <d v="2025-06-18T00:51:26" u="1"/>
        <d v="2025-06-18T00:52:23" u="1"/>
        <d v="2025-06-18T00:52:58" u="1"/>
        <d v="2025-06-18T00:56:31" u="1"/>
        <d v="2025-06-18T00:57:04" u="1"/>
        <d v="2025-06-18T00:59:45" u="1"/>
        <d v="2025-06-18T01:00:15" u="1"/>
        <d v="2025-06-18T01:01:50" u="1"/>
        <d v="2025-06-18T01:07:18" u="1"/>
        <d v="2025-06-18T01:11:52" u="1"/>
        <d v="2025-06-18T01:36:11" u="1"/>
        <d v="2025-06-18T04:48:02" u="1"/>
        <d v="2025-06-18T06:10:09" u="1"/>
        <d v="2025-06-18T06:13:44" u="1"/>
        <d v="2025-06-18T06:20:10" u="1"/>
        <d v="2025-06-18T06:22:49" u="1"/>
        <d v="2025-06-18T06:31:18" u="1"/>
        <d v="2025-06-18T06:39:46" u="1"/>
        <d v="2025-06-18T06:50:59" u="1"/>
        <d v="2025-06-18T06:51:34" u="1"/>
        <d v="2025-06-18T06:51:55" u="1"/>
        <d v="2025-06-18T06:57:15" u="1"/>
        <d v="2025-06-18T07:00:18" u="1"/>
        <d v="2025-06-18T07:00:51" u="1"/>
        <d v="2025-06-18T07:01:36" u="1"/>
        <d v="2025-06-18T07:03:51" u="1"/>
        <d v="2025-06-18T07:07:48" u="1"/>
        <d v="2025-06-18T07:13:45" u="1"/>
        <d v="2025-06-18T07:19:27" u="1"/>
        <d v="2025-06-18T07:26:07" u="1"/>
        <d v="2025-06-18T07:35:18" u="1"/>
        <d v="2025-06-18T07:41:11" u="1"/>
        <d v="2025-06-18T07:52:17" u="1"/>
        <d v="2025-06-18T08:00:01" u="1"/>
        <d v="2025-06-18T08:19:57" u="1"/>
        <d v="2025-06-18T08:22:44" u="1"/>
        <d v="2025-06-18T08:23:48" u="1"/>
        <d v="2025-06-18T08:28:54" u="1"/>
        <d v="2025-06-18T08:29:51" u="1"/>
        <d v="2025-06-18T08:43:03" u="1"/>
        <d v="2025-06-18T09:03:35" u="1"/>
        <d v="2025-06-18T09:07:30" u="1"/>
        <d v="2025-06-18T09:33:44" u="1"/>
        <d v="2025-06-18T09:34:26" u="1"/>
        <d v="2025-06-18T11:12:15" u="1"/>
        <d v="2025-06-18T11:14:58" u="1"/>
        <d v="2025-06-18T11:17:51" u="1"/>
        <d v="2025-06-18T11:20:22" u="1"/>
        <d v="2025-06-18T11:31:12" u="1"/>
        <d v="2025-06-18T12:08:03" u="1"/>
        <d v="2025-06-18T12:13:38" u="1"/>
        <d v="2025-06-18T12:19:31" u="1"/>
        <d v="2025-06-18T12:23:39" u="1"/>
        <d v="2025-06-18T13:00:19" u="1"/>
        <d v="2025-06-18T13:06:12" u="1"/>
        <d v="2025-06-18T13:06:33" u="1"/>
        <d v="2025-06-18T13:27:16" u="1"/>
        <d v="2025-06-18T14:07:14" u="1"/>
        <d v="2025-06-18T14:46:44" u="1"/>
        <d v="2025-06-18T15:20:24" u="1"/>
        <d v="2025-06-18T15:20:37" u="1"/>
        <d v="2025-06-18T17:27:29" u="1"/>
        <d v="2025-06-18T17:42:51" u="1"/>
        <d v="2025-06-18T18:20:41" u="1"/>
        <d v="2025-06-18T18:28:01" u="1"/>
        <d v="2025-06-18T19:31:29" u="1"/>
        <d v="2025-06-18T19:43:22" u="1"/>
        <d v="2025-06-18T20:59:26" u="1"/>
        <d v="2025-06-18T23:17:09" u="1"/>
        <d v="2025-06-18T23:43:36" u="1"/>
        <d v="2025-06-19T01:08:30" u="1"/>
        <d v="2025-06-19T03:20:30" u="1"/>
        <d v="2025-06-19T05:15:31" u="1"/>
        <d v="2025-06-19T05:15:52" u="1"/>
        <d v="2025-06-19T06:26:21" u="1"/>
        <d v="2025-06-19T06:34:22" u="1"/>
        <d v="2025-06-19T07:03:33" u="1"/>
        <d v="2025-06-19T07:12:51" u="1"/>
        <d v="2025-06-19T07:26:21" u="1"/>
        <d v="2025-06-19T07:43:07" u="1"/>
        <d v="2025-06-19T07:45:19" u="1"/>
        <d v="2025-06-19T09:32:32" u="1"/>
        <d v="2025-06-19T09:36:55" u="1"/>
        <d v="2025-06-19T10:13:06" u="1"/>
        <d v="2025-06-19T11:20:52" u="1"/>
        <d v="2025-06-19T11:27:09" u="1"/>
        <d v="2025-06-19T11:58:42" u="1"/>
        <d v="2025-06-19T12:01:08" u="1"/>
        <d v="2025-06-19T13:38:57" u="1"/>
        <d v="2025-06-19T13:46:54" u="1"/>
        <d v="2025-06-19T13:52:50" u="1"/>
        <d v="2025-06-19T14:24:52" u="1"/>
        <d v="2025-06-19T15:16:29" u="1"/>
        <d v="2025-06-19T15:29:15" u="1"/>
        <d v="2025-06-19T15:32:17" u="1"/>
        <d v="2025-06-19T15:51:36" u="1"/>
        <d v="2025-06-19T15:52:20" u="1"/>
        <d v="2025-06-19T16:02:56" u="1"/>
        <d v="2025-06-19T16:07:17" u="1"/>
        <d v="2025-06-19T17:41:46" u="1"/>
        <d v="2025-06-19T17:45:39" u="1"/>
        <d v="2025-06-19T18:00:10" u="1"/>
        <d v="2025-06-19T18:00:41" u="1"/>
        <d v="2025-06-19T18:02:34" u="1"/>
        <d v="2025-06-19T18:03:11" u="1"/>
        <d v="2025-06-19T19:00:59" u="1"/>
        <d v="2025-06-19T21:01:25" u="1"/>
        <d v="2025-06-19T21:20:43" u="1"/>
        <d v="2025-06-20T10:14:40" u="1"/>
        <d v="2025-06-20T12:53:24" u="1"/>
        <d v="2025-06-20T12:56:01" u="1"/>
        <d v="2025-06-20T12:57:56" u="1"/>
        <d v="2025-06-20T12:59:27" u="1"/>
        <d v="2025-06-20T13:01:01" u="1"/>
        <d v="2025-06-20T13:01:37" u="1"/>
        <d v="2025-06-20T13:08:59" u="1"/>
        <d v="2025-06-20T13:27:30" u="1"/>
        <d v="2025-06-20T13:44:30" u="1"/>
        <d v="2025-06-20T14:09:27" u="1"/>
        <d v="2025-06-20T14:12:14" u="1"/>
        <d v="2025-06-20T14:31:57" u="1"/>
        <d v="2025-06-20T14:39:39" u="1"/>
        <d v="2025-06-20T15:37:17" u="1"/>
        <d v="2025-06-20T16:03:42" u="1"/>
        <d v="2025-06-20T16:04:27" u="1"/>
        <d v="2025-06-20T16:57:08" u="1"/>
        <d v="2025-06-20T17:00:06" u="1"/>
        <d v="2025-06-20T17:57:46" u="1"/>
        <d v="2025-06-20T18:56:55" u="1"/>
        <d v="2025-06-20T19:03:19" u="1"/>
        <d v="2025-06-20T22:43:18" u="1"/>
        <d v="2025-06-21T07:02:58" u="1"/>
        <d v="2025-06-21T08:03:58" u="1"/>
        <d v="2025-06-21T09:18:28" u="1"/>
        <d v="2025-06-21T09:56:02" u="1"/>
        <d v="2025-06-21T10:08:21" u="1"/>
        <d v="2025-06-21T11:01:08" u="1"/>
        <d v="2025-06-21T11:58:14" u="1"/>
        <d v="2025-06-21T12:24:40" u="1"/>
        <d v="2025-06-21T14:31:36" u="1"/>
        <d v="2025-06-21T14:52:42" u="1"/>
        <d v="2025-06-21T15:51:27" u="1"/>
        <d v="2025-06-21T17:03:25" u="1"/>
        <d v="2025-06-21T17:07:14" u="1"/>
        <d v="2025-06-21T17:08:48" u="1"/>
        <d v="2025-06-21T19:48:55" u="1"/>
        <d v="2025-06-21T20:32:37" u="1"/>
        <d v="2025-06-21T20:33:38" u="1"/>
        <d v="2025-06-21T20:40:07" u="1"/>
        <d v="2025-06-22T00:12:02" u="1"/>
        <d v="2025-06-22T03:59:10" u="1"/>
        <d v="2025-06-22T04:00:33" u="1"/>
        <d v="2025-06-22T06:59:31" u="1"/>
        <d v="2025-06-22T07:00:36" u="1"/>
        <d v="2025-06-22T07:04:52" u="1"/>
        <d v="2025-06-22T07:32:40" u="1"/>
        <d v="2025-06-22T07:44:26" u="1"/>
        <d v="2025-06-22T08:29:38" u="1"/>
        <d v="2025-06-22T08:55:15" u="1"/>
        <d v="2025-06-22T09:20:35" u="1"/>
        <d v="2025-06-22T09:42:03" u="1"/>
        <d v="2025-06-22T10:32:03" u="1"/>
        <d v="2025-06-22T10:49:10" u="1"/>
        <d v="2025-06-22T17:05:36" u="1"/>
        <d v="2025-06-22T18:01:59" u="1"/>
        <d v="2025-06-22T21:16:14" u="1"/>
        <d v="2025-06-22T21:23:34" u="1"/>
        <d v="2025-06-22T21:32:21" u="1"/>
        <d v="2025-06-23T03:22:34" u="1"/>
        <d v="2025-06-23T06:19:58" u="1"/>
        <d v="2025-06-23T07:22:22" u="1"/>
        <d v="2025-06-23T07:50:06" u="1"/>
        <d v="2025-06-23T08:00:09" u="1"/>
        <d v="2025-06-23T08:03:59" u="1"/>
        <d v="2025-06-23T08:17:54" u="1"/>
        <d v="2025-06-23T08:22:41" u="1"/>
        <d v="2025-06-23T08:38:31" u="1"/>
        <d v="2025-06-23T09:00:40" u="1"/>
        <d v="2025-06-23T10:42:42" u="1"/>
        <d v="2025-06-23T10:44:17" u="1"/>
        <d v="2025-06-23T11:40:11" u="1"/>
        <d v="2025-06-23T12:06:19" u="1"/>
        <d v="2025-06-23T12:15:24" u="1"/>
        <d v="2025-06-23T12:29:41" u="1"/>
        <d v="2025-06-23T13:14:35" u="1"/>
        <d v="2025-06-23T14:05:39" u="1"/>
        <d v="2025-06-23T14:08:15" u="1"/>
        <d v="2025-06-23T15:55:21" u="1"/>
        <d v="2025-06-23T16:21:28" u="1"/>
        <d v="2025-06-23T16:48:37" u="1"/>
        <d v="2025-06-23T17:19:15" u="1"/>
        <d v="2025-06-23T22:40:20" u="1"/>
        <d v="2025-06-24T02:55:01" u="1"/>
        <d v="2025-06-24T06:26:26" u="1"/>
        <d v="2025-06-24T07:29:05" u="1"/>
        <d v="2025-06-24T07:33:28" u="1"/>
        <d v="2025-06-24T07:47:41" u="1"/>
        <d v="2025-06-24T08:00:12" u="1"/>
        <d v="2025-06-24T08:50:27" u="1"/>
        <d v="2025-06-24T09:39:15" u="1"/>
        <d v="2025-06-24T09:43:37" u="1"/>
        <d v="2025-06-24T10:01:31" u="1"/>
        <d v="2025-06-24T11:02:45" u="1"/>
        <d v="2025-06-24T11:25:51" u="1"/>
        <d v="2025-06-24T11:30:35" u="1"/>
        <d v="2025-06-24T11:58:16" u="1"/>
        <d v="2025-06-24T12:00:18" u="1"/>
        <d v="2025-06-24T12:16:24" u="1"/>
        <d v="2025-06-24T12:17:52" u="1"/>
        <d v="2025-06-24T12:51:28" u="1"/>
        <d v="2025-06-24T12:52:11" u="1"/>
        <d v="2025-06-24T13:16:10" u="1"/>
        <d v="2025-06-24T13:18:25" u="1"/>
        <d v="2025-06-24T14:18:36" u="1"/>
        <d v="2025-06-24T14:37:27" u="1"/>
        <d v="2025-06-24T15:45:35" u="1"/>
        <d v="2025-06-24T15:58:30" u="1"/>
        <d v="2025-06-24T16:05:09" u="1"/>
        <d v="2025-06-24T16:24:44" u="1"/>
        <d v="2025-06-24T16:28:11" u="1"/>
        <d v="2025-06-24T16:28:32" u="1"/>
        <d v="2025-06-24T18:28:46" u="1"/>
        <d v="2025-06-24T22:19:54" u="1"/>
        <d v="2025-06-24T23:05:18" u="1"/>
        <d v="2025-06-25T01:36:24" u="1"/>
        <d v="2025-06-25T02:53:09" u="1"/>
        <d v="2025-06-25T04:37:28" u="1"/>
        <d v="2025-06-25T04:47:41" u="1"/>
        <d v="2025-06-25T04:54:31" u="1"/>
        <d v="2025-06-25T05:42:03" u="1"/>
        <d v="2025-06-25T06:02:22" u="1"/>
        <d v="2025-06-25T06:21:24" u="1"/>
        <d v="2025-06-25T06:26:55" u="1"/>
        <d v="2025-06-25T06:28:16" u="1"/>
        <d v="2025-06-25T06:34:36" u="1"/>
        <d v="2025-06-25T06:39:44" u="1"/>
        <d v="2025-06-25T07:01:53" u="1"/>
        <d v="2025-06-25T07:17:18" u="1"/>
        <d v="2025-06-25T07:19:40" u="1"/>
        <d v="2025-06-25T07:33:04" u="1"/>
        <d v="2025-06-25T08:01:29" u="1"/>
        <d v="2025-06-25T08:36:25" u="1"/>
        <d v="2025-06-25T08:37:50" u="1"/>
        <d v="2025-06-25T08:50:14" u="1"/>
        <d v="2025-06-25T08:56:22" u="1"/>
        <d v="2025-06-25T09:01:15" u="1"/>
        <d v="2025-06-25T09:08:03" u="1"/>
        <d v="2025-06-25T09:09:16" u="1"/>
        <d v="2025-06-25T09:19:54" u="1"/>
        <d v="2025-06-25T10:16:59" u="1"/>
        <d v="2025-06-25T10:29:59" u="1"/>
        <d v="2025-06-25T10:32:43" u="1"/>
        <d v="2025-06-25T10:36:06" u="1"/>
        <d v="2025-06-25T10:38:14" u="1"/>
        <d v="2025-06-25T10:45:24" u="1"/>
        <d v="2025-06-25T10:51:17" u="1"/>
        <d v="2025-06-25T11:00:05" u="1"/>
        <d v="2025-06-25T11:06:27" u="1"/>
        <d v="2025-06-25T11:16:02" u="1"/>
        <d v="2025-06-25T11:17:16" u="1"/>
        <d v="2025-06-25T11:17:34" u="1"/>
        <d v="2025-06-25T11:19:43" u="1"/>
        <d v="2025-06-25T11:20:22" u="1"/>
        <d v="2025-06-25T11:20:45" u="1"/>
        <d v="2025-06-25T11:28:23" u="1"/>
        <d v="2025-06-25T11:30:51" u="1"/>
        <d v="2025-06-25T11:55:53" u="1"/>
        <d v="2025-06-25T12:10:55" u="1"/>
        <d v="2025-06-25T12:12:35" u="1"/>
        <d v="2025-06-25T12:12:50" u="1"/>
        <d v="2025-06-25T12:19:34" u="1"/>
        <d v="2025-06-25T12:20:26" u="1"/>
        <d v="2025-06-25T12:23:40" u="1"/>
        <d v="2025-06-25T12:25:08" u="1"/>
        <d v="2025-06-25T12:28:03" u="1"/>
        <d v="2025-06-25T12:32:33" u="1"/>
        <d v="2025-06-25T12:47:26" u="1"/>
        <d v="2025-06-25T12:56:50" u="1"/>
        <d v="2025-06-25T12:57:51" u="1"/>
        <d v="2025-06-25T12:58:39" u="1"/>
        <d v="2025-06-25T13:00:09" u="1"/>
        <d v="2025-06-25T13:00:23" u="1"/>
        <d v="2025-06-25T13:03:05" u="1"/>
        <d v="2025-06-25T13:09:18" u="1"/>
        <d v="2025-06-25T13:17:11" u="1"/>
        <d v="2025-06-25T13:18:47" u="1"/>
        <d v="2025-06-25T13:28:37" u="1"/>
        <d v="2025-06-25T13:52:04" u="1"/>
        <d v="2025-06-25T13:57:19" u="1"/>
        <d v="2025-06-25T14:09:20" u="1"/>
        <d v="2025-06-25T14:45:10" u="1"/>
        <d v="2025-06-25T14:59:23" u="1"/>
        <d v="2025-06-25T15:39:08" u="1"/>
        <d v="2025-06-25T15:39:49" u="1"/>
        <d v="2025-06-25T15:48:22" u="1"/>
        <d v="2025-06-25T15:54:08" u="1"/>
        <d v="2025-06-25T15:55:13" u="1"/>
        <d v="2025-06-25T16:10:27" u="1"/>
        <d v="2025-06-25T16:11:17" u="1"/>
        <d v="2025-06-25T16:13:08" u="1"/>
        <d v="2025-06-25T16:13:25" u="1"/>
        <d v="2025-06-25T16:16:02" u="1"/>
        <d v="2025-06-25T17:05:00" u="1"/>
        <d v="2025-06-25T17:52:03" u="1"/>
        <d v="2025-06-25T20:18:40" u="1"/>
        <d v="2025-06-25T20:23:35" u="1"/>
        <d v="2025-06-25T22:46:17" u="1"/>
        <d v="2025-06-26T05:42:49" u="1"/>
        <d v="2025-06-26T05:55:34" u="1"/>
        <d v="2025-06-26T05:56:35" u="1"/>
        <d v="2025-06-26T05:57:34" u="1"/>
        <d v="2025-06-26T05:59:00" u="1"/>
        <d v="2025-06-26T06:28:17" u="1"/>
        <d v="2025-06-26T06:56:29" u="1"/>
        <d v="2025-06-26T07:12:02" u="1"/>
        <d v="2025-06-26T08:06:45" u="1"/>
        <d v="2025-06-26T08:08:21" u="1"/>
        <d v="2025-06-26T10:45:04" u="1"/>
        <d v="2025-06-26T10:55:28" u="1"/>
        <d v="2025-06-26T11:03:27" u="1"/>
        <d v="2025-06-26T11:42:04" u="1"/>
        <d v="2025-06-26T11:47:48" u="1"/>
        <d v="2025-06-26T11:48:23" u="1"/>
        <d v="2025-06-26T11:59:47" u="1"/>
        <d v="2025-06-26T12:00:28" u="1"/>
        <d v="2025-06-26T12:02:00" u="1"/>
        <d v="2025-06-26T12:23:58" u="1"/>
        <d v="2025-06-26T12:55:11" u="1"/>
        <d v="2025-06-26T12:58:29" u="1"/>
        <d v="2025-06-26T12:59:06" u="1"/>
        <d v="2025-06-26T13:03:16" u="1"/>
        <d v="2025-06-26T13:09:03" u="1"/>
        <d v="2025-06-26T14:26:51" u="1"/>
        <d v="2025-06-26T15:15:39" u="1"/>
        <d v="2025-06-26T15:39:20" u="1"/>
        <d v="2025-06-26T15:56:58" u="1"/>
        <d v="2025-06-26T15:57:17" u="1"/>
        <d v="2025-06-26T16:14:35" u="1"/>
        <d v="2025-06-26T16:35:40" u="1"/>
        <d v="2025-06-26T16:52:25" u="1"/>
        <d v="2025-06-26T17:13:59" u="1"/>
        <d v="2025-06-26T18:14:49" u="1"/>
        <d v="2025-06-26T18:41:52" u="1"/>
        <d v="2025-06-26T18:43:11" u="1"/>
        <d v="2025-06-26T19:01:14" u="1"/>
        <d v="2025-06-26T20:27:12" u="1"/>
        <d v="2025-06-27T00:41:33" u="1"/>
        <d v="2025-06-27T05:19:57" u="1"/>
        <d v="2025-06-27T06:55:30" u="1"/>
        <d v="2025-06-27T09:18:03" u="1"/>
        <d v="2025-06-27T10:56:13" u="1"/>
        <d v="2025-06-27T11:17:30" u="1"/>
        <d v="2025-06-27T12:42:07" u="1"/>
        <d v="2025-06-27T13:25:11" u="1"/>
        <d v="2025-06-27T13:26:28" u="1"/>
        <d v="2025-06-27T14:32:22" u="1"/>
        <d v="2025-06-27T14:49:14" u="1"/>
        <d v="2025-06-27T14:57:11" u="1"/>
        <d v="2025-06-27T15:02:59" u="1"/>
        <d v="2025-06-27T16:27:26" u="1"/>
        <d v="2025-06-27T16:39:02" u="1"/>
        <d v="2025-06-27T16:47:11" u="1"/>
        <d v="2025-06-27T18:52:00" u="1"/>
        <d v="2025-06-27T19:22:48" u="1"/>
        <d v="2025-06-27T19:58:19" u="1"/>
        <d v="2025-06-27T20:04:38" u="1"/>
        <d v="2025-06-27T20:32:24" u="1"/>
        <d v="2025-06-27T23:56:00" u="1"/>
        <d v="2025-06-28T00:26:57" u="1"/>
        <d v="2025-06-28T00:27:09" u="1"/>
        <d v="2025-06-28T03:55:15" u="1"/>
        <d v="2025-06-28T04:16:14" u="1"/>
        <d v="2025-06-28T05:21:00" u="1"/>
        <d v="2025-06-28T14:26:34" u="1"/>
        <d v="2025-06-28T14:28:29" u="1"/>
        <d v="2025-06-28T17:42:49" u="1"/>
        <d v="2025-06-28T17:56:27" u="1"/>
        <d v="2025-06-28T18:02:00" u="1"/>
        <d v="2025-06-28T19:43:08" u="1"/>
        <d v="2025-06-28T23:00:53" u="1"/>
        <d v="2025-06-28T23:13:49" u="1"/>
        <d v="2025-06-28T23:17:56" u="1"/>
        <d v="2025-06-29T06:33:26" u="1"/>
        <d v="2025-06-29T08:57:04" u="1"/>
        <d v="2025-06-29T10:47:30" u="1"/>
        <d v="2025-06-29T10:50:09" u="1"/>
        <d v="2025-06-29T10:55:55" u="1"/>
        <d v="2025-06-29T10:56:34" u="1"/>
        <d v="2025-06-29T10:57:15" u="1"/>
        <d v="2025-06-29T10:57:47" u="1"/>
        <d v="2025-06-29T10:57:55" u="1"/>
        <d v="2025-06-29T11:00:50" u="1"/>
        <d v="2025-06-29T11:02:44" u="1"/>
        <d v="2025-06-29T11:09:42" u="1"/>
        <d v="2025-06-29T11:11:32" u="1"/>
        <d v="2025-06-29T11:16:36" u="1"/>
        <d v="2025-06-29T11:20:34" u="1"/>
        <d v="2025-06-29T11:22:06" u="1"/>
        <d v="2025-06-29T11:24:59" u="1"/>
        <d v="2025-06-29T11:34:24" u="1"/>
        <d v="2025-06-29T12:50:32" u="1"/>
        <d v="2025-06-29T13:09:46" u="1"/>
        <d v="2025-06-29T13:16:31" u="1"/>
        <d v="2025-06-29T15:03:11" u="1"/>
        <d v="2025-06-29T15:21:32" u="1"/>
        <d v="2025-06-29T16:32:43" u="1"/>
        <d v="2025-06-29T16:54:43" u="1"/>
        <d v="2025-06-29T17:15:59" u="1"/>
        <d v="2025-06-29T17:16:23" u="1"/>
        <d v="2025-06-29T17:20:35" u="1"/>
        <d v="2025-06-29T17:50:25" u="1"/>
        <d v="2025-06-29T18:01:36" u="1"/>
        <d v="2025-06-29T18:25:11" u="1"/>
        <d v="2025-06-29T18:45:17" u="1"/>
        <d v="2025-06-29T18:47:43" u="1"/>
        <d v="2025-06-29T20:01:15" u="1"/>
        <d v="2025-06-29T22:46:16" u="1"/>
        <d v="2025-06-29T23:59:43" u="1"/>
        <d v="2025-06-30T00:00:03" u="1"/>
        <d v="2025-06-30T00:00:24" u="1"/>
        <d v="2025-06-30T00:00:30" u="1"/>
        <d v="2025-06-30T00:00:40" u="1"/>
        <d v="2025-06-30T00:04:00" u="1"/>
        <d v="2025-06-30T07:19:23" u="1"/>
        <d v="2025-06-30T08:03:47" u="1"/>
        <d v="2025-06-30T08:33:46" u="1"/>
        <d v="2025-06-30T08:43:30" u="1"/>
        <d v="2025-06-30T09:08:07" u="1"/>
        <d v="2025-06-30T09:38:01" u="1"/>
        <d v="2025-06-30T09:51:23" u="1"/>
        <d v="2025-06-30T10:44:14" u="1"/>
        <d v="2025-06-30T10:48:22" u="1"/>
        <d v="2025-06-30T10:53:39" u="1"/>
        <d v="2025-06-30T11:15:12" u="1"/>
        <d v="2025-06-30T11:18:14" u="1"/>
        <d v="2025-06-30T11:23:43" u="1"/>
        <d v="2025-06-30T11:28:51" u="1"/>
        <d v="2025-06-30T11:30:41" u="1"/>
        <d v="2025-06-30T11:50:17" u="1"/>
        <d v="2025-06-30T12:48:38" u="1"/>
        <d v="2025-06-30T13:04:16" u="1"/>
        <d v="2025-06-30T13:07:16" u="1"/>
        <d v="2025-06-30T13:24:14" u="1"/>
        <d v="2025-06-30T13:49:03" u="1"/>
        <d v="2025-06-30T13:50:39" u="1"/>
        <d v="2025-06-30T14:10:33" u="1"/>
        <d v="2025-06-30T14:47:10" u="1"/>
        <d v="2025-06-30T14:48:17" u="1"/>
        <d v="2025-06-30T14:56:37" u="1"/>
        <d v="2025-06-30T15:16:32" u="1"/>
        <d v="2025-06-30T15:21:34" u="1"/>
        <d v="2025-06-30T15:42:56" u="1"/>
        <d v="2025-06-30T16:29:40" u="1"/>
        <d v="2025-06-30T16:44:38" u="1"/>
        <d v="2025-06-30T20:21:26" u="1"/>
        <d v="2025-06-30T20:32:25" u="1"/>
        <d v="2025-06-30T20:52:34" u="1"/>
        <d v="2025-06-30T21:15:46" u="1"/>
        <d v="2025-06-30T21:19:19" u="1"/>
        <d v="2025-06-30T21:21:59" u="1"/>
        <d v="2025-06-30T23:33:43" u="1"/>
        <d v="2025-07-01T03:00:36" u="1"/>
        <d v="2025-07-01T03:15:42" u="1"/>
        <d v="2025-07-01T03:16:44" u="1"/>
        <d v="2025-07-01T05:05:49" u="1"/>
        <d v="2025-07-01T05:55:47" u="1"/>
        <d v="2025-07-01T05:57:35" u="1"/>
        <d v="2025-07-01T07:34:59" u="1"/>
        <d v="2025-07-01T07:41:03" u="1"/>
        <d v="2025-07-01T07:43:08" u="1"/>
        <d v="2025-07-01T08:18:23" u="1"/>
        <d v="2025-07-01T08:44:38" u="1"/>
        <d v="2025-07-01T09:13:56" u="1"/>
        <d v="2025-07-01T09:14:08" u="1"/>
        <d v="2025-07-01T09:21:17" u="1"/>
        <d v="2025-07-01T09:27:31" u="1"/>
        <d v="2025-07-01T09:34:47" u="1"/>
        <d v="2025-07-01T09:37:53" u="1"/>
        <d v="2025-07-01T09:59:38" u="1"/>
        <d v="2025-07-01T10:00:26" u="1"/>
        <d v="2025-07-01T10:06:34" u="1"/>
        <d v="2025-07-01T10:16:20" u="1"/>
        <d v="2025-07-01T10:47:25" u="1"/>
        <d v="2025-07-01T10:48:05" u="1"/>
        <d v="2025-07-01T10:55:47" u="1"/>
        <d v="2025-07-01T10:59:43" u="1"/>
        <d v="2025-07-01T11:05:51" u="1"/>
        <d v="2025-07-01T11:30:03" u="1"/>
        <d v="2025-07-01T12:04:56" u="1"/>
        <d v="2025-07-01T12:16:39" u="1"/>
        <d v="2025-07-01T12:19:52" u="1"/>
        <d v="2025-07-01T12:31:42" u="1"/>
        <d v="2025-07-01T12:36:17" u="1"/>
        <d v="2025-07-01T12:57:52" u="1"/>
        <d v="2025-07-01T13:05:26" u="1"/>
        <d v="2025-07-01T13:09:03" u="1"/>
        <d v="2025-07-01T13:22:29" u="1"/>
        <d v="2025-07-01T13:30:53" u="1"/>
        <d v="2025-07-01T13:42:27" u="1"/>
        <d v="2025-07-01T13:44:22" u="1"/>
        <d v="2025-07-01T13:46:34" u="1"/>
        <d v="2025-07-01T14:21:15" u="1"/>
        <d v="2025-07-01T14:32:48" u="1"/>
        <d v="2025-07-01T14:34:43" u="1"/>
        <d v="2025-07-01T14:52:52" u="1"/>
        <d v="2025-07-01T15:01:59" u="1"/>
        <d v="2025-07-01T15:12:07" u="1"/>
        <d v="2025-07-01T15:14:39" u="1"/>
        <d v="2025-07-01T15:17:45" u="1"/>
        <d v="2025-07-01T15:51:45" u="1"/>
        <d v="2025-07-01T17:11:07" u="1"/>
        <d v="2025-07-01T17:52:00" u="1"/>
        <d v="2025-07-01T19:36:08" u="1"/>
        <d v="2025-07-01T19:40:27" u="1"/>
        <d v="2025-07-01T20:22:41" u="1"/>
        <d v="2025-07-01T21:50:29" u="1"/>
        <d v="2025-07-01T22:00:07" u="1"/>
        <d v="2025-07-01T22:20:41" u="1"/>
        <d v="2025-07-02T03:40:09" u="1"/>
        <d v="2025-07-02T04:22:04" u="1"/>
        <d v="2025-07-02T04:42:46" u="1"/>
        <d v="2025-07-02T06:16:49" u="1"/>
        <d v="2025-07-02T06:36:32" u="1"/>
        <d v="2025-07-02T06:37:42" u="1"/>
        <d v="2025-07-02T06:48:24" u="1"/>
        <d v="2025-07-02T07:03:59" u="1"/>
        <d v="2025-07-02T08:23:04" u="1"/>
        <d v="2025-07-02T08:28:17" u="1"/>
        <d v="2025-07-02T08:52:44" u="1"/>
        <d v="2025-07-02T09:15:10" u="1"/>
        <d v="2025-07-02T09:15:48" u="1"/>
        <d v="2025-07-02T09:17:03" u="1"/>
        <d v="2025-07-02T09:30:54" u="1"/>
        <d v="2025-07-02T10:23:45" u="1"/>
        <d v="2025-07-02T10:34:50" u="1"/>
        <d v="2025-07-02T10:38:14" u="1"/>
        <d v="2025-07-02T10:55:22" u="1"/>
        <d v="2025-07-02T10:55:35" u="1"/>
        <d v="2025-07-02T11:39:29" u="1"/>
        <d v="2025-07-02T11:42:05" u="1"/>
        <d v="2025-07-02T11:50:11" u="1"/>
        <d v="2025-07-02T12:23:10" u="1"/>
        <d v="2025-07-02T12:37:49" u="1"/>
        <d v="2025-07-02T12:43:22" u="1"/>
        <d v="2025-07-02T13:09:49" u="1"/>
        <d v="2025-07-02T13:15:52" u="1"/>
        <d v="2025-07-02T13:34:33" u="1"/>
        <d v="2025-07-02T13:46:56" u="1"/>
        <d v="2025-07-02T13:52:49" u="1"/>
        <d v="2025-07-02T14:01:29" u="1"/>
        <d v="2025-07-02T14:02:33" u="1"/>
        <d v="2025-07-02T14:04:25" u="1"/>
        <d v="2025-07-02T14:25:19" u="1"/>
        <d v="2025-07-02T14:25:54" u="1"/>
        <d v="2025-07-02T14:28:12" u="1"/>
        <d v="2025-07-02T14:45:10" u="1"/>
        <d v="2025-07-02T14:47:00" u="1"/>
        <d v="2025-07-02T14:50:52" u="1"/>
        <d v="2025-07-02T15:00:26" u="1"/>
        <d v="2025-07-02T15:14:12" u="1"/>
        <d v="2025-07-02T15:15:40" u="1"/>
        <d v="2025-07-02T15:29:08" u="1"/>
        <d v="2025-07-02T15:32:08" u="1"/>
        <d v="2025-07-02T15:41:53" u="1"/>
        <d v="2025-07-02T15:57:13" u="1"/>
        <d v="2025-07-02T16:05:28" u="1"/>
        <d v="2025-07-02T16:12:08" u="1"/>
        <d v="2025-07-02T16:23:08" u="1"/>
        <d v="2025-07-02T16:31:27" u="1"/>
        <d v="2025-07-02T16:37:14" u="1"/>
        <d v="2025-07-02T17:22:05" u="1"/>
        <d v="2025-07-02T17:44:33" u="1"/>
        <d v="2025-07-02T18:26:37" u="1"/>
        <d v="2025-07-02T18:37:01" u="1"/>
        <d v="2025-07-02T18:46:16" u="1"/>
        <d v="2025-07-02T19:08:01" u="1"/>
        <d v="2025-07-02T19:57:52" u="1"/>
        <d v="2025-07-02T20:00:14" u="1"/>
        <d v="2025-07-02T20:02:16" u="1"/>
        <d v="2025-07-03T06:11:17" u="1"/>
        <d v="2025-07-03T06:13:42" u="1"/>
        <d v="2025-07-03T06:41:11" u="1"/>
        <d v="2025-07-03T06:54:17" u="1"/>
        <d v="2025-07-03T07:16:50" u="1"/>
        <d v="2025-07-03T07:29:47" u="1"/>
        <d v="2025-07-03T07:30:49" u="1"/>
        <d v="2025-07-03T07:51:11" u="1"/>
        <d v="2025-07-03T08:00:24" u="1"/>
        <d v="2025-07-03T08:41:49" u="1"/>
        <d v="2025-07-03T09:24:51" u="1"/>
        <d v="2025-07-03T09:31:33" u="1"/>
        <d v="2025-07-03T09:54:01" u="1"/>
        <d v="2025-07-03T09:55:36" u="1"/>
        <d v="2025-07-03T09:55:43" u="1"/>
        <d v="2025-07-03T10:05:07" u="1"/>
        <d v="2025-07-03T10:13:16" u="1"/>
        <d v="2025-07-03T10:27:21" u="1"/>
        <d v="2025-07-03T10:35:35" u="1"/>
        <d v="2025-07-03T10:42:31" u="1"/>
        <d v="2025-07-03T11:13:18" u="1"/>
        <d v="2025-07-03T11:26:03" u="1"/>
        <d v="2025-07-03T11:34:54" u="1"/>
        <d v="2025-07-03T11:44:02" u="1"/>
        <d v="2025-07-03T11:52:29" u="1"/>
        <d v="2025-07-03T12:04:50" u="1"/>
        <d v="2025-07-03T12:46:35" u="1"/>
        <d v="2025-07-03T13:08:43" u="1"/>
        <d v="2025-07-03T13:18:39" u="1"/>
        <d v="2025-07-03T13:19:48" u="1"/>
        <d v="2025-07-03T13:51:28" u="1"/>
        <d v="2025-07-03T14:18:21" u="1"/>
        <d v="2025-07-03T14:34:27" u="1"/>
        <d v="2025-07-03T14:54:52" u="1"/>
        <d v="2025-07-03T14:56:10" u="1"/>
        <d v="2025-07-03T15:25:47" u="1"/>
        <d v="2025-07-03T16:15:40" u="1"/>
        <d v="2025-07-03T16:50:06" u="1"/>
        <d v="2025-07-03T16:57:46" u="1"/>
        <d v="2025-07-03T17:01:40" u="1"/>
        <d v="2025-07-03T18:16:53" u="1"/>
        <d v="2025-07-03T20:06:36" u="1"/>
        <d v="2025-07-03T22:31:23" u="1"/>
        <d v="2025-07-04T01:53:41" u="1"/>
        <d v="2025-07-04T01:55:20" u="1"/>
        <d v="2025-07-04T02:27:14" u="1"/>
        <d v="2025-07-04T03:56:21" u="1"/>
        <d v="2025-07-04T04:24:05" u="1"/>
        <d v="2025-07-04T06:46:41" u="1"/>
        <d v="2025-07-04T07:42:59" u="1"/>
        <d v="2025-07-04T08:27:43" u="1"/>
        <d v="2025-07-04T09:06:54" u="1"/>
        <d v="2025-07-04T09:40:19" u="1"/>
        <d v="2025-07-04T09:43:47" u="1"/>
        <d v="2025-07-04T09:43:58" u="1"/>
        <d v="2025-07-04T09:45:56" u="1"/>
        <d v="2025-07-04T10:29:01" u="1"/>
        <d v="2025-07-04T11:12:56" u="1"/>
        <d v="2025-07-04T12:05:40" u="1"/>
        <d v="2025-07-04T12:16:33" u="1"/>
        <d v="2025-07-04T12:34:41" u="1"/>
        <d v="2025-07-04T13:38:26" u="1"/>
        <d v="2025-07-04T14:46:34" u="1"/>
        <d v="2025-07-04T14:49:08" u="1"/>
        <d v="2025-07-04T14:52:59" u="1"/>
        <d v="2025-07-04T16:18:39" u="1"/>
        <d v="2025-07-04T16:37:03" u="1"/>
        <d v="2025-07-04T17:38:16" u="1"/>
        <d v="2025-07-04T17:48:08" u="1"/>
        <d v="2025-07-04T17:51:43" u="1"/>
        <d v="2025-07-04T20:00:26" u="1"/>
        <d v="2025-07-05T00:31:59" u="1"/>
        <d v="2025-07-05T05:47:57" u="1"/>
        <d v="2025-07-05T06:23:20" u="1"/>
        <d v="2025-07-05T06:39:02" u="1"/>
        <d v="2025-07-05T06:41:00" u="1"/>
        <d v="2025-07-05T06:42:14" u="1"/>
        <d v="2025-07-05T07:24:07" u="1"/>
        <d v="2025-07-05T07:25:35" u="1"/>
        <d v="2025-07-05T07:43:14" u="1"/>
        <d v="2025-07-05T08:00:30" u="1"/>
        <d v="2025-07-05T08:26:11" u="1"/>
        <d v="2025-07-05T08:38:43" u="1"/>
        <d v="2025-07-05T10:23:27" u="1"/>
        <d v="2025-07-05T10:37:42" u="1"/>
        <d v="2025-07-05T10:47:02" u="1"/>
        <d v="2025-07-05T10:51:29" u="1"/>
        <d v="2025-07-05T12:42:13" u="1"/>
        <d v="2025-07-05T12:49:39" u="1"/>
        <d v="2025-07-05T14:04:34" u="1"/>
        <d v="2025-07-05T19:10:31" u="1"/>
        <d v="2025-07-05T19:59:49" u="1"/>
        <d v="2025-07-05T20:00:18" u="1"/>
        <d v="2025-07-06T04:10:21" u="1"/>
        <d v="2025-07-06T06:02:04" u="1"/>
        <d v="2025-07-06T06:08:53" u="1"/>
        <d v="2025-07-06T06:30:29" u="1"/>
        <d v="2025-07-06T07:01:48" u="1"/>
        <d v="2025-07-06T07:04:51" u="1"/>
        <d v="2025-07-06T07:13:23" u="1"/>
        <d v="2025-07-06T07:15:53" u="1"/>
        <d v="2025-07-06T07:17:29" u="1"/>
        <d v="2025-07-06T08:05:27" u="1"/>
        <d v="2025-07-06T08:08:08" u="1"/>
        <d v="2025-07-06T08:50:36" u="1"/>
        <d v="2025-07-06T09:01:57" u="1"/>
        <d v="2025-07-06T09:10:46" u="1"/>
        <d v="2025-07-06T09:29:22" u="1"/>
        <d v="2025-07-06T09:50:01" u="1"/>
        <d v="2025-07-06T09:54:21" u="1"/>
        <d v="2025-07-06T10:02:51" u="1"/>
        <d v="2025-07-06T10:34:15" u="1"/>
        <d v="2025-07-06T10:39:03" u="1"/>
        <d v="2025-07-06T11:03:08" u="1"/>
        <d v="2025-07-06T11:04:17" u="1"/>
        <d v="2025-07-06T11:20:58" u="1"/>
        <d v="2025-07-06T11:34:48" u="1"/>
        <d v="2025-07-06T12:23:15" u="1"/>
        <d v="2025-07-06T13:27:16" u="1"/>
        <d v="2025-07-06T13:28:39" u="1"/>
        <d v="2025-07-06T13:31:57" u="1"/>
        <d v="2025-07-06T13:37:07" u="1"/>
        <d v="2025-07-06T13:46:16" u="1"/>
        <d v="2025-07-06T14:12:22" u="1"/>
        <d v="2025-07-06T14:47:32" u="1"/>
        <d v="2025-07-06T15:05:39" u="1"/>
        <d v="2025-07-06T15:41:23" u="1"/>
        <d v="2025-07-06T18:22:33" u="1"/>
        <d v="2025-07-06T18:45:18" u="1"/>
        <d v="2025-07-06T18:47:43" u="1"/>
        <d v="2025-07-06T18:54:01" u="1"/>
        <d v="2025-07-06T19:17:24" u="1"/>
        <d v="2025-07-06T19:21:55" u="1"/>
        <d v="2025-07-06T19:22:38" u="1"/>
        <d v="2025-07-06T19:25:06" u="1"/>
        <d v="2025-07-06T20:38:29" u="1"/>
        <d v="2025-07-06T21:00:30" u="1"/>
        <d v="2025-07-06T21:31:40" u="1"/>
        <d v="2025-07-07T05:02:40" u="1"/>
        <d v="2025-07-07T06:13:21" u="1"/>
        <d v="2025-07-07T06:45:39" u="1"/>
        <d v="2025-07-07T07:01:46" u="1"/>
        <d v="2025-07-07T07:03:06" u="1"/>
        <d v="2025-07-07T07:36:53" u="1"/>
        <d v="2025-07-07T07:44:41" u="1"/>
        <d v="2025-07-07T07:47:56" u="1"/>
        <d v="2025-07-07T07:48:07" u="1"/>
        <d v="2025-07-07T08:00:09" u="1"/>
        <d v="2025-07-07T08:01:51" u="1"/>
        <d v="2025-07-07T08:56:08" u="1"/>
        <d v="2025-07-07T09:09:26" u="1"/>
        <d v="2025-07-07T09:21:17" u="1"/>
        <d v="2025-07-07T09:29:57" u="1"/>
        <d v="2025-07-07T10:42:24" u="1"/>
        <d v="2025-07-07T10:46:45" u="1"/>
        <d v="2025-07-07T10:51:33" u="1"/>
        <d v="2025-07-07T11:01:02" u="1"/>
        <d v="2025-07-07T11:07:26" u="1"/>
        <d v="2025-07-07T12:09:44" u="1"/>
        <d v="2025-07-07T12:19:10" u="1"/>
        <d v="2025-07-07T12:25:08" u="1"/>
        <d v="2025-07-07T12:25:22" u="1"/>
        <d v="2025-07-07T12:37:11" u="1"/>
        <d v="2025-07-07T13:43:15" u="1"/>
        <d v="2025-07-07T13:44:53" u="1"/>
        <d v="2025-07-07T13:50:23" u="1"/>
        <d v="2025-07-07T14:23:30" u="1"/>
        <d v="2025-07-07T14:46:29" u="1"/>
        <d v="2025-07-07T14:56:31" u="1"/>
        <d v="2025-07-07T15:03:16" u="1"/>
        <d v="2025-07-07T15:22:13" u="1"/>
        <d v="2025-07-07T15:22:17" u="1"/>
        <d v="2025-07-07T15:49:54" u="1"/>
        <d v="2025-07-07T15:54:57" u="1"/>
        <d v="2025-07-07T15:56:12" u="1"/>
        <d v="2025-07-07T16:07:56" u="1"/>
        <d v="2025-07-07T16:09:16" u="1"/>
        <d v="2025-07-07T16:37:32" u="1"/>
        <d v="2025-07-07T19:07:43" u="1"/>
        <d v="2025-07-07T19:38:59" u="1"/>
        <d v="2025-07-07T19:59:22" u="1"/>
        <d v="2025-07-07T20:15:31" u="1"/>
        <d v="2025-07-07T20:40:34" u="1"/>
        <d v="2025-07-07T20:52:29" u="1"/>
        <d v="2025-07-07T21:20:30" u="1"/>
        <d v="2025-07-07T21:55:11" u="1"/>
        <d v="2025-07-08T04:39:50" u="1"/>
        <d v="2025-07-08T06:50:32" u="1"/>
        <d v="2025-07-08T06:51:07" u="1"/>
        <d v="2025-07-08T07:01:16" u="1"/>
        <d v="2025-07-08T07:07:55" u="1"/>
        <d v="2025-07-08T07:20:38" u="1"/>
        <d v="2025-07-08T08:09:49" u="1"/>
        <d v="2025-07-08T08:27:39" u="1"/>
        <d v="2025-07-08T09:10:45" u="1"/>
        <d v="2025-07-08T09:46:47" u="1"/>
        <d v="2025-07-08T09:48:08" u="1"/>
        <d v="2025-07-08T10:09:23" u="1"/>
        <d v="2025-07-08T10:36:34" u="1"/>
        <d v="2025-07-08T10:40:12" u="1"/>
        <d v="2025-07-08T10:42:19" u="1"/>
        <d v="2025-07-08T10:42:40" u="1"/>
        <d v="2025-07-08T10:44:14" u="1"/>
        <d v="2025-07-08T10:47:31" u="1"/>
        <d v="2025-07-08T10:58:00" u="1"/>
        <d v="2025-07-08T11:00:34" u="1"/>
        <d v="2025-07-08T11:01:37" u="1"/>
        <d v="2025-07-08T11:03:41" u="1"/>
        <d v="2025-07-08T11:06:11" u="1"/>
        <d v="2025-07-08T11:20:18" u="1"/>
        <d v="2025-07-08T11:21:09" u="1"/>
        <d v="2025-07-08T11:25:46" u="1"/>
        <d v="2025-07-08T11:28:06" u="1"/>
        <d v="2025-07-08T11:29:53" u="1"/>
        <d v="2025-07-08T11:29:59" u="1"/>
        <d v="2025-07-08T11:30:13" u="1"/>
        <d v="2025-07-08T11:39:26" u="1"/>
        <d v="2025-07-08T11:46:53" u="1"/>
        <d v="2025-07-08T12:04:23" u="1"/>
        <d v="2025-07-08T12:04:45" u="1"/>
        <d v="2025-07-08T12:09:14" u="1"/>
        <d v="2025-07-08T12:10:02" u="1"/>
        <d v="2025-07-08T12:30:40" u="1"/>
        <d v="2025-07-08T12:42:43" u="1"/>
        <d v="2025-07-08T12:46:51" u="1"/>
        <d v="2025-07-08T12:48:33" u="1"/>
        <d v="2025-07-08T12:52:31" u="1"/>
        <d v="2025-07-08T13:12:06" u="1"/>
        <d v="2025-07-08T13:37:48" u="1"/>
        <d v="2025-07-08T13:43:10" u="1"/>
        <d v="2025-07-08T13:51:06" u="1"/>
        <d v="2025-07-08T13:58:53" u="1"/>
        <d v="2025-07-08T14:18:58" u="1"/>
        <d v="2025-07-08T14:20:16" u="1"/>
        <d v="2025-07-08T14:20:25" u="1"/>
        <d v="2025-07-08T14:46:23" u="1"/>
        <d v="2025-07-08T15:11:18" u="1"/>
        <d v="2025-07-08T15:28:40" u="1"/>
        <d v="2025-07-08T15:34:58" u="1"/>
        <d v="2025-07-08T15:43:33" u="1"/>
        <d v="2025-07-08T17:22:36" u="1"/>
        <d v="2025-07-08T20:52:49" u="1"/>
        <d v="2025-07-08T21:11:39" u="1"/>
        <d v="2025-07-08T23:47:39" u="1"/>
        <d v="2025-07-09T02:34:49" u="1"/>
        <d v="2025-07-09T05:36:24" u="1"/>
        <d v="2025-07-09T06:42:38" u="1"/>
        <d v="2025-07-09T07:15:57" u="1"/>
        <d v="2025-07-09T07:29:01" u="1"/>
        <d v="2025-07-09T07:29:06" u="1"/>
        <d v="2025-07-09T07:46:59" u="1"/>
        <d v="2025-07-09T07:53:30" u="1"/>
        <d v="2025-07-09T08:00:04" u="1"/>
        <d v="2025-07-09T08:11:54" u="1"/>
        <d v="2025-07-09T08:14:50" u="1"/>
        <d v="2025-07-09T08:30:32" u="1"/>
        <d v="2025-07-09T08:31:21" u="1"/>
        <d v="2025-07-09T09:30:14" u="1"/>
        <d v="2025-07-09T10:00:03" u="1"/>
        <d v="2025-07-09T10:08:28" u="1"/>
        <d v="2025-07-09T10:22:25" u="1"/>
        <d v="2025-07-09T10:27:41" u="1"/>
        <d v="2025-07-09T11:09:48" u="1"/>
        <d v="2025-07-09T11:15:48" u="1"/>
        <d v="2025-07-09T11:22:43" u="1"/>
        <d v="2025-07-09T11:23:12" u="1"/>
        <d v="2025-07-09T11:30:20" u="1"/>
        <d v="2025-07-09T11:31:53" u="1"/>
        <d v="2025-07-09T12:04:30" u="1"/>
        <d v="2025-07-09T12:05:18" u="1"/>
        <d v="2025-07-09T12:08:31" u="1"/>
        <d v="2025-07-09T12:25:20" u="1"/>
        <d v="2025-07-09T12:40:52" u="1"/>
        <d v="2025-07-09T13:22:08" u="1"/>
        <d v="2025-07-09T13:24:31" u="1"/>
        <d v="2025-07-09T13:24:40" u="1"/>
        <d v="2025-07-09T13:24:49" u="1"/>
        <d v="2025-07-09T13:27:15" u="1"/>
        <d v="2025-07-09T13:28:16" u="1"/>
        <d v="2025-07-09T13:29:03" u="1"/>
        <d v="2025-07-09T13:30:06" u="1"/>
        <d v="2025-07-09T13:30:43" u="1"/>
        <d v="2025-07-09T13:31:43" u="1"/>
        <d v="2025-07-09T13:32:10" u="1"/>
        <d v="2025-07-09T13:32:41" u="1"/>
        <d v="2025-07-09T13:33:47" u="1"/>
        <d v="2025-07-09T13:35:52" u="1"/>
        <d v="2025-07-09T13:52:16" u="1"/>
        <d v="2025-07-09T13:56:38" u="1"/>
        <d v="2025-07-09T14:00:30" u="1"/>
        <d v="2025-07-09T14:00:59" u="1"/>
        <d v="2025-07-09T14:01:31" u="1"/>
        <d v="2025-07-09T14:01:59" u="1"/>
        <d v="2025-07-09T14:02:31" u="1"/>
        <d v="2025-07-09T14:02:42" u="1"/>
        <d v="2025-07-09T14:03:13" u="1"/>
        <d v="2025-07-09T14:04:22" u="1"/>
        <d v="2025-07-09T14:04:54" u="1"/>
        <d v="2025-07-09T14:05:34" u="1"/>
        <d v="2025-07-09T14:06:56" u="1"/>
        <d v="2025-07-09T14:07:19" u="1"/>
        <d v="2025-07-09T14:09:56" u="1"/>
        <d v="2025-07-09T14:40:11" u="1"/>
        <d v="2025-07-09T14:47:43" u="1"/>
        <d v="2025-07-09T15:02:10" u="1"/>
        <d v="2025-07-09T15:03:27" u="1"/>
        <d v="2025-07-09T15:15:12" u="1"/>
        <d v="2025-07-09T15:16:41" u="1"/>
        <d v="2025-07-09T15:52:09" u="1"/>
        <d v="2025-07-09T16:00:44" u="1"/>
        <d v="2025-07-09T16:28:48" u="1"/>
        <d v="2025-07-09T16:29:09" u="1"/>
        <d v="2025-07-09T16:45:36" u="1"/>
        <d v="2025-07-09T16:54:48" u="1"/>
        <d v="2025-07-09T17:09:00" u="1"/>
        <d v="2025-07-09T17:22:24" u="1"/>
        <d v="2025-07-09T17:39:47" u="1"/>
        <d v="2025-07-09T17:41:01" u="1"/>
        <d v="2025-07-09T19:01:17" u="1"/>
        <d v="2025-07-09T19:26:15" u="1"/>
        <d v="2025-07-09T20:22:43" u="1"/>
        <d v="2025-07-09T21:16:43" u="1"/>
        <d v="2025-07-09T21:33:55" u="1"/>
        <d v="2025-07-09T22:20:23" u="1"/>
        <d v="2025-07-09T22:21:56" u="1"/>
        <d v="2025-07-09T22:52:35" u="1"/>
        <d v="2025-07-09T23:00:20" u="1"/>
        <d v="2025-07-09T23:18:38" u="1"/>
        <d v="2025-07-10T00:43:36" u="1"/>
        <d v="2025-07-10T00:48:58" u="1"/>
        <d v="2025-07-10T01:23:43" u="1"/>
        <d v="2025-07-10T01:24:34" u="1"/>
        <d v="2025-07-10T01:25:27" u="1"/>
        <d v="2025-07-10T01:27:29" u="1"/>
        <d v="2025-07-10T02:00:55" u="1"/>
        <d v="2025-07-10T02:11:13" u="1"/>
        <d v="2025-07-10T02:15:04" u="1"/>
        <d v="2025-07-10T03:01:18" u="1"/>
        <d v="2025-07-10T03:11:41" u="1"/>
        <d v="2025-07-10T04:11:30" u="1"/>
        <d v="2025-07-10T05:13:38" u="1"/>
        <d v="2025-07-10T05:44:53" u="1"/>
        <d v="2025-07-10T05:47:22" u="1"/>
        <d v="2025-07-10T06:29:37" u="1"/>
        <d v="2025-07-10T06:33:22" u="1"/>
        <d v="2025-07-10T06:36:08" u="1"/>
        <d v="2025-07-10T06:36:39" u="1"/>
        <d v="2025-07-10T06:53:33" u="1"/>
        <d v="2025-07-10T07:01:44" u="1"/>
        <d v="2025-07-10T07:37:13" u="1"/>
        <d v="2025-07-10T07:40:17" u="1"/>
        <d v="2025-07-10T07:40:49" u="1"/>
        <d v="2025-07-10T08:07:27" u="1"/>
        <d v="2025-07-10T08:10:22" u="1"/>
        <d v="2025-07-10T08:18:17" u="1"/>
        <d v="2025-07-10T08:41:59" u="1"/>
        <d v="2025-07-10T08:51:23" u="1"/>
        <d v="2025-07-10T08:52:04" u="1"/>
        <d v="2025-07-10T09:00:28" u="1"/>
        <d v="2025-07-10T09:15:18" u="1"/>
        <d v="2025-07-10T09:54:39" u="1"/>
        <d v="2025-07-10T09:57:29" u="1"/>
        <d v="2025-07-10T09:59:56" u="1"/>
        <d v="2025-07-10T10:00:36" u="1"/>
        <d v="2025-07-10T10:06:20" u="1"/>
        <d v="2025-07-10T10:18:02" u="1"/>
        <d v="2025-07-10T10:28:49" u="1"/>
        <d v="2025-07-10T10:40:27" u="1"/>
        <d v="2025-07-10T10:56:57" u="1"/>
        <d v="2025-07-10T11:02:54" u="1"/>
        <d v="2025-07-10T11:06:58" u="1"/>
        <d v="2025-07-10T11:33:35" u="1"/>
        <d v="2025-07-10T11:33:58" u="1"/>
        <d v="2025-07-10T12:02:24" u="1"/>
        <d v="2025-07-10T12:27:52" u="1"/>
        <d v="2025-07-10T12:43:11" u="1"/>
        <d v="2025-07-10T13:44:14" u="1"/>
        <d v="2025-07-10T13:45:46" u="1"/>
        <d v="2025-07-10T13:46:45" u="1"/>
        <d v="2025-07-10T13:55:53" u="1"/>
        <d v="2025-07-10T14:00:16" u="1"/>
        <d v="2025-07-10T14:06:18" u="1"/>
        <d v="2025-07-10T14:37:35" u="1"/>
        <d v="2025-07-10T15:55:03" u="1"/>
        <d v="2025-07-10T17:02:12" u="1"/>
        <d v="2025-07-10T19:29:50" u="1"/>
        <d v="2025-07-10T19:43:14" u="1"/>
        <d v="2025-07-11T02:21:22" u="1"/>
        <d v="2025-07-11T06:00:48" u="1"/>
        <d v="2025-07-11T06:41:35" u="1"/>
        <d v="2025-07-11T07:25:02" u="1"/>
        <d v="2025-07-11T07:26:32" u="1"/>
        <d v="2025-07-11T07:34:15" u="1"/>
        <d v="2025-07-11T07:43:46" u="1"/>
        <d v="2025-07-11T08:58:01" u="1"/>
        <d v="2025-07-11T10:16:03" u="1"/>
        <d v="2025-07-11T10:19:59" u="1"/>
        <d v="2025-07-11T10:24:26" u="1"/>
        <d v="2025-07-11T10:52:08" u="1"/>
        <d v="2025-07-11T10:59:14" u="1"/>
        <d v="2025-07-11T11:00:24" u="1"/>
        <d v="2025-07-11T11:49:09" u="1"/>
        <d v="2025-07-11T11:52:12" u="1"/>
        <d v="2025-07-11T12:28:57" u="1"/>
        <d v="2025-07-11T12:52:59" u="1"/>
        <d v="2025-07-11T12:54:58" u="1"/>
        <d v="2025-07-11T13:10:19" u="1"/>
        <d v="2025-07-11T13:11:08" u="1"/>
        <d v="2025-07-11T13:14:46" u="1"/>
        <d v="2025-07-11T13:26:58" u="1"/>
        <d v="2025-07-11T13:35:24" u="1"/>
        <d v="2025-07-11T14:21:57" u="1"/>
        <d v="2025-07-11T14:35:00" u="1"/>
        <d v="2025-07-11T16:39:28" u="1"/>
        <d v="2025-07-11T16:40:28" u="1"/>
        <d v="2025-07-11T16:40:46" u="1"/>
        <d v="2025-07-11T16:41:52" u="1"/>
        <d v="2025-07-11T18:37:58" u="1"/>
        <d v="2025-07-11T18:55:37" u="1"/>
        <d v="2025-07-11T19:01:34" u="1"/>
        <d v="2025-07-11T21:33:11" u="1"/>
        <d v="2025-07-12T06:19:07" u="1"/>
        <d v="2025-07-12T08:00:26" u="1"/>
        <d v="2025-07-12T09:18:56" u="1"/>
        <d v="2025-07-12T09:51:35" u="1"/>
        <d v="2025-07-12T11:52:57" u="1"/>
        <d v="2025-07-12T12:13:08" u="1"/>
        <d v="2025-07-12T23:59:29" u="1"/>
        <d v="2025-07-13T00:01:01" u="1"/>
        <d v="2025-07-13T00:20:33" u="1"/>
        <d v="2025-07-13T00:31:10" u="1"/>
        <d v="2025-07-13T03:50:33" u="1"/>
        <d v="2025-07-13T05:04:01" u="1"/>
        <d v="2025-07-13T08:43:19" u="1"/>
        <d v="2025-07-13T08:44:22" u="1"/>
        <d v="2025-07-13T09:27:33" u="1"/>
        <d v="2025-07-13T10:48:13" u="1"/>
        <d v="2025-07-13T12:29:31" u="1"/>
        <d v="2025-07-13T12:32:19" u="1"/>
        <d v="2025-07-13T12:39:23" u="1"/>
        <d v="2025-07-13T12:39:44" u="1"/>
        <d v="2025-07-13T19:01:07" u="1"/>
        <d v="2025-07-13T20:05:49" u="1"/>
        <d v="2025-07-14T06:32:08" u="1"/>
        <d v="2025-07-14T06:40:33" u="1"/>
        <d v="2025-07-14T07:11:22" u="1"/>
        <d v="2025-07-14T07:45:14" u="1"/>
        <d v="2025-07-14T07:50:51" u="1"/>
        <d v="2025-07-14T08:23:29" u="1"/>
        <d v="2025-07-14T09:06:09" u="1"/>
        <d v="2025-07-14T09:19:45" u="1"/>
        <d v="2025-07-14T09:23:40" u="1"/>
        <d v="2025-07-14T09:31:06" u="1"/>
        <d v="2025-07-14T10:22:15" u="1"/>
        <d v="2025-07-14T11:04:05" u="1"/>
        <d v="2025-07-14T11:15:21" u="1"/>
        <d v="2025-07-14T11:26:38" u="1"/>
        <d v="2025-07-14T11:31:38" u="1"/>
        <d v="2025-07-14T11:32:39" u="1"/>
        <d v="2025-07-14T12:08:23" u="1"/>
        <d v="2025-07-14T12:39:54" u="1"/>
        <d v="2025-07-14T12:51:35" u="1"/>
        <d v="2025-07-14T12:53:58" u="1"/>
        <d v="2025-07-14T13:01:20" u="1"/>
        <d v="2025-07-14T13:34:06" u="1"/>
        <d v="2025-07-14T13:35:01" u="1"/>
        <d v="2025-07-14T14:33:46" u="1"/>
        <d v="2025-07-14T15:11:25" u="1"/>
        <d v="2025-07-14T15:15:28" u="1"/>
        <d v="2025-07-14T15:22:44" u="1"/>
        <d v="2025-07-14T16:06:07" u="1"/>
        <d v="2025-07-14T16:07:53" u="1"/>
        <d v="2025-07-14T16:41:17" u="1"/>
        <d v="2025-07-14T16:59:02" u="1"/>
        <d v="2025-07-14T17:14:47" u="1"/>
        <d v="2025-07-14T17:51:40" u="1"/>
        <d v="2025-07-14T18:30:11" u="1"/>
        <d v="2025-07-14T18:30:22" u="1"/>
        <d v="2025-07-14T18:49:48" u="1"/>
        <d v="2025-07-14T18:52:27" u="1"/>
        <d v="2025-07-14T18:54:17" u="1"/>
        <d v="2025-07-14T19:33:47" u="1"/>
        <d v="2025-07-14T20:08:14" u="1"/>
        <d v="2025-07-14T21:50:03" u="1"/>
        <d v="2025-07-15T00:40:42" u="1"/>
        <d v="2025-07-15T05:59:32" u="1"/>
        <d v="2025-07-15T06:59:56" u="1"/>
        <d v="2025-07-15T07:00:35" u="1"/>
        <d v="2025-07-15T07:42:05" u="1"/>
        <d v="2025-07-15T09:12:00" u="1"/>
        <d v="2025-07-15T09:17:29" u="1"/>
        <d v="2025-07-15T09:25:15" u="1"/>
        <d v="2025-07-15T09:25:54" u="1"/>
        <d v="2025-07-15T09:26:14" u="1"/>
        <d v="2025-07-15T09:42:13" u="1"/>
        <d v="2025-07-15T09:45:54" u="1"/>
        <d v="2025-07-15T10:21:04" u="1"/>
        <d v="2025-07-15T10:34:36" u="1"/>
        <d v="2025-07-15T11:01:22" u="1"/>
        <d v="2025-07-15T11:32:02" u="1"/>
        <d v="2025-07-15T12:04:07" u="1"/>
        <d v="2025-07-15T12:26:33" u="1"/>
        <d v="2025-07-15T13:03:52" u="1"/>
        <d v="2025-07-15T13:27:51" u="1"/>
        <d v="2025-07-15T13:32:11" u="1"/>
        <d v="2025-07-15T14:09:24" u="1"/>
        <d v="2025-07-15T14:10:04" u="1"/>
        <d v="2025-07-15T14:10:19" u="1"/>
        <d v="2025-07-15T14:12:10" u="1"/>
        <d v="2025-07-15T14:27:05" u="1"/>
        <d v="2025-07-15T14:43:36" u="1"/>
        <d v="2025-07-15T15:23:31" u="1"/>
        <d v="2025-07-15T15:33:58" u="1"/>
        <d v="2025-07-15T15:46:51" u="1"/>
        <d v="2025-07-15T16:57:13" u="1"/>
        <d v="2025-07-15T17:00:26" u="1"/>
        <d v="2025-07-15T17:04:55" u="1"/>
        <d v="2025-07-15T17:18:17" u="1"/>
        <d v="2025-07-15T17:42:03" u="1"/>
        <d v="2025-07-15T18:16:09" u="1"/>
        <d v="2025-07-15T18:27:13" u="1"/>
        <d v="2025-07-15T19:08:14" u="1"/>
        <d v="2025-07-15T19:15:34" u="1"/>
        <d v="2025-07-15T19:35:21" u="1"/>
        <d v="2025-07-15T20:19:18" u="1"/>
        <d v="2025-07-15T20:44:06" u="1"/>
        <d v="2025-07-15T21:04:19" u="1"/>
        <d v="2025-07-15T21:04:34" u="1"/>
        <d v="2025-07-15T21:04:45" u="1"/>
        <d v="2025-07-15T22:12:07" u="1"/>
        <d v="2025-07-15T22:12:11" u="1"/>
        <d v="2025-07-15T22:12:34" u="1"/>
        <d v="2025-07-15T22:22:36" u="1"/>
        <d v="2025-07-16T00:29:04" u="1"/>
        <d v="2025-07-16T00:31:06" u="1"/>
        <d v="2025-07-16T05:13:59" u="1"/>
        <d v="2025-07-16T06:02:11" u="1"/>
        <d v="2025-07-16T06:13:46" u="1"/>
        <d v="2025-07-16T06:14:23" u="1"/>
        <d v="2025-07-16T06:18:39" u="1"/>
        <d v="2025-07-16T06:39:31" u="1"/>
        <d v="2025-07-16T06:43:28" u="1"/>
        <d v="2025-07-16T07:22:16" u="1"/>
        <d v="2025-07-16T07:39:13" u="1"/>
        <d v="2025-07-16T09:00:21" u="1"/>
        <d v="2025-07-16T09:12:57" u="1"/>
        <d v="2025-07-16T09:17:49" u="1"/>
        <d v="2025-07-16T10:17:08" u="1"/>
        <d v="2025-07-16T11:03:34" u="1"/>
        <d v="2025-07-16T11:49:39" u="1"/>
        <d v="2025-07-16T11:50:09" u="1"/>
        <d v="2025-07-16T11:50:54" u="1"/>
        <d v="2025-07-16T11:53:22" u="1"/>
        <d v="2025-07-16T11:59:01" u="1"/>
        <d v="2025-07-16T12:04:17" u="1"/>
        <d v="2025-07-16T12:11:03" u="1"/>
        <d v="2025-07-16T14:48:18" u="1"/>
        <d v="2025-07-16T15:34:22" u="1"/>
        <d v="2025-07-16T15:34:52" u="1"/>
        <d v="2025-07-16T15:40:36" u="1"/>
        <d v="2025-07-16T16:36:13" u="1"/>
        <d v="2025-07-16T17:00:58" u="1"/>
        <d v="2025-07-16T17:31:01" u="1"/>
        <d v="2025-07-16T17:33:05" u="1"/>
        <d v="2025-07-16T17:34:44" u="1"/>
        <d v="2025-07-16T17:35:42" u="1"/>
        <d v="2025-07-16T18:23:39" u="1"/>
        <d v="2025-07-16T18:44:26" u="1"/>
        <d v="2025-07-16T18:48:27" u="1"/>
        <d v="2025-07-16T18:48:32" u="1"/>
        <d v="2025-07-16T18:58:11" u="1"/>
        <d v="2025-07-16T19:03:37" u="1"/>
        <d v="2025-07-16T19:09:47" u="1"/>
        <d v="2025-07-16T19:10:34" u="1"/>
        <d v="2025-07-16T19:12:26" u="1"/>
        <d v="2025-07-16T19:18:14" u="1"/>
        <d v="2025-07-16T19:19:43" u="1"/>
        <d v="2025-07-16T20:27:54" u="1"/>
        <d v="2025-07-16T20:34:30" u="1"/>
        <d v="2025-07-16T22:17:09" u="1"/>
        <d v="2025-07-16T22:23:58" u="1"/>
        <d v="2025-07-16T23:20:11" u="1"/>
        <d v="2025-07-16T23:56:25" u="1"/>
        <d v="2025-07-17T05:20:58" u="1"/>
        <d v="2025-07-17T05:55:08" u="1"/>
        <d v="2025-07-17T06:03:45" u="1"/>
        <d v="2025-07-17T06:46:24" u="1"/>
        <d v="2025-07-17T07:15:36" u="1"/>
        <d v="2025-07-17T07:51:53" u="1"/>
        <d v="2025-07-17T08:09:51" u="1"/>
        <d v="2025-07-17T09:19:54" u="1"/>
        <d v="2025-07-17T10:03:57" u="1"/>
        <d v="2025-07-17T10:06:51" u="1"/>
        <d v="2025-07-17T10:10:33" u="1"/>
        <d v="2025-07-17T10:15:17" u="1"/>
        <d v="2025-07-17T10:16:18" u="1"/>
        <d v="2025-07-17T10:29:47" u="1"/>
        <d v="2025-07-17T10:36:26" u="1"/>
        <d v="2025-07-17T10:43:39" u="1"/>
        <d v="2025-07-17T11:02:26" u="1"/>
        <d v="2025-07-17T11:44:13" u="1"/>
        <d v="2025-07-17T12:38:07" u="1"/>
        <d v="2025-07-17T12:53:25" u="1"/>
        <d v="2025-07-17T13:07:22" u="1"/>
        <d v="2025-07-17T13:08:27" u="1"/>
        <d v="2025-07-17T13:08:51" u="1"/>
        <d v="2025-07-17T13:16:51" u="1"/>
        <d v="2025-07-17T13:30:15" u="1"/>
        <d v="2025-07-17T13:51:57" u="1"/>
        <d v="2025-07-17T14:17:01" u="1"/>
        <d v="2025-07-17T14:17:06" u="1"/>
        <d v="2025-07-17T14:39:19" u="1"/>
        <d v="2025-07-17T14:41:42" u="1"/>
        <d v="2025-07-17T14:42:25" u="1"/>
        <d v="2025-07-17T15:02:47" u="1"/>
        <d v="2025-07-17T15:22:04" u="1"/>
        <d v="2025-07-17T16:36:15" u="1"/>
        <d v="2025-07-17T16:36:29" u="1"/>
        <d v="2025-07-17T16:38:01" u="1"/>
        <d v="2025-07-17T17:34:17" u="1"/>
        <d v="2025-07-17T18:08:24" u="1"/>
        <d v="2025-07-17T19:44:33" u="1"/>
        <d v="2025-07-17T19:46:09" u="1"/>
        <d v="2025-07-17T21:05:00" u="1"/>
        <d v="2025-07-17T22:54:44" u="1"/>
        <d v="2025-07-18T02:10:38" u="1"/>
        <d v="2025-07-18T02:39:00" u="1"/>
        <d v="2025-07-18T03:29:09" u="1"/>
        <d v="2025-07-18T07:06:13" u="1"/>
        <d v="2025-07-18T07:29:16" u="1"/>
        <d v="2025-07-18T07:29:44" u="1"/>
        <d v="2025-07-18T07:36:09" u="1"/>
        <d v="2025-07-18T08:26:22" u="1"/>
        <d v="2025-07-18T08:31:18" u="1"/>
        <d v="2025-07-18T09:06:23" u="1"/>
        <d v="2025-07-18T09:08:09" u="1"/>
        <d v="2025-07-18T09:27:03" u="1"/>
        <d v="2025-07-18T10:23:14" u="1"/>
        <d v="2025-07-18T10:31:46" u="1"/>
        <d v="2025-07-18T11:06:18" u="1"/>
        <d v="2025-07-18T11:47:39" u="1"/>
        <d v="2025-07-18T11:48:07" u="1"/>
        <d v="2025-07-18T12:10:07" u="1"/>
        <d v="2025-07-18T12:16:05" u="1"/>
        <d v="2025-07-18T12:16:11" u="1"/>
        <d v="2025-07-18T12:21:07" u="1"/>
        <d v="2025-07-18T12:21:21" u="1"/>
        <d v="2025-07-18T13:28:10" u="1"/>
        <d v="2025-07-18T13:29:58" u="1"/>
        <d v="2025-07-18T13:32:41" u="1"/>
        <d v="2025-07-18T13:42:45" u="1"/>
        <d v="2025-07-18T13:45:36" u="1"/>
        <d v="2025-07-18T13:56:43" u="1"/>
        <d v="2025-07-18T13:59:19" u="1"/>
        <d v="2025-07-18T14:03:55" u="1"/>
        <d v="2025-07-18T14:13:55" u="1"/>
        <d v="2025-07-18T14:45:08" u="1"/>
        <d v="2025-07-18T16:12:23" u="1"/>
        <d v="2025-07-18T16:27:53" u="1"/>
        <d v="2025-07-18T16:28:31" u="1"/>
        <d v="2025-07-18T16:30:49" u="1"/>
        <d v="2025-07-18T16:53:52" u="1"/>
        <d v="2025-07-18T17:05:39" u="1"/>
        <d v="2025-07-18T18:49:29" u="1"/>
        <d v="2025-07-18T19:37:09" u="1"/>
        <d v="2025-07-18T19:43:29" u="1"/>
        <d v="2025-07-18T20:43:55" u="1"/>
        <d v="2025-07-18T21:38:27" u="1"/>
        <d v="2025-07-18T21:40:32" u="1"/>
        <d v="2025-07-18T21:44:02" u="1"/>
        <d v="2025-07-18T22:45:22" u="1"/>
        <d v="2025-07-19T05:31:40" u="1"/>
        <d v="2025-07-19T06:07:40" u="1"/>
        <d v="2025-07-19T06:11:02" u="1"/>
        <d v="2025-07-19T09:43:38" u="1"/>
        <d v="2025-07-19T09:46:32" u="1"/>
        <d v="2025-07-19T10:55:56" u="1"/>
        <d v="2025-07-19T11:01:41" u="1"/>
        <d v="2025-07-19T11:15:42" u="1"/>
        <d v="2025-07-19T12:17:04" u="1"/>
        <d v="2025-07-19T12:17:27" u="1"/>
        <d v="2025-07-19T12:18:20" u="1"/>
        <d v="2025-07-19T14:20:57" u="1"/>
        <d v="2025-07-19T15:19:07" u="1"/>
        <d v="2025-07-19T15:19:16" u="1"/>
        <d v="2025-07-19T15:23:12" u="1"/>
        <d v="2025-07-19T16:03:27" u="1"/>
        <d v="2025-07-19T16:42:22" u="1"/>
        <d v="2025-07-19T16:47:26" u="1"/>
        <d v="2025-07-19T16:57:44" u="1"/>
        <d v="2025-07-19T17:12:12" u="1"/>
        <d v="2025-07-19T17:33:45" u="1"/>
        <d v="2025-07-19T17:33:48" u="1"/>
        <d v="2025-07-19T17:44:51" u="1"/>
        <d v="2025-07-19T17:50:00" u="1"/>
        <d v="2025-07-19T17:53:18" u="1"/>
        <d v="2025-07-19T17:55:30" u="1"/>
        <d v="2025-07-19T18:00:13" u="1"/>
        <d v="2025-07-19T18:00:23" u="1"/>
        <d v="2025-07-19T18:02:08" u="1"/>
        <d v="2025-07-19T18:02:49" u="1"/>
        <d v="2025-07-19T18:12:54" u="1"/>
        <d v="2025-07-19T18:17:57" u="1"/>
        <d v="2025-07-19T19:01:27" u="1"/>
        <d v="2025-07-19T19:10:17" u="1"/>
        <d v="2025-07-19T19:41:30" u="1"/>
        <d v="2025-07-19T19:41:47" u="1"/>
        <d v="2025-07-19T20:01:37" u="1"/>
        <d v="2025-07-19T20:10:34" u="1"/>
        <d v="2025-07-19T21:29:53" u="1"/>
        <d v="2025-07-20T03:11:08" u="1"/>
        <d v="2025-07-20T07:10:43" u="1"/>
        <d v="2025-07-20T11:22:19" u="1"/>
        <d v="2025-07-20T12:20:34" u="1"/>
        <d v="2025-07-20T12:33:03" u="1"/>
        <d v="2025-07-20T12:40:50" u="1"/>
        <d v="2025-07-20T13:01:18" u="1"/>
        <d v="2025-07-20T13:04:36" u="1"/>
        <d v="2025-07-20T13:17:18" u="1"/>
        <d v="2025-07-20T13:27:41" u="1"/>
        <d v="2025-07-20T14:11:11" u="1"/>
        <d v="2025-07-20T15:25:24" u="1"/>
        <d v="2025-07-20T16:16:26" u="1"/>
        <d v="2025-07-20T18:56:05" u="1"/>
        <d v="2025-07-20T21:01:23" u="1"/>
        <d v="2025-07-20T21:02:28" u="1"/>
        <d v="2025-07-20T21:20:15" u="1"/>
        <d v="2025-07-21T03:35:44" u="1"/>
        <d v="2025-07-21T04:13:37" u="1"/>
        <d v="2025-07-21T06:12:19" u="1"/>
        <d v="2025-07-21T06:40:52" u="1"/>
        <d v="2025-07-21T08:14:47" u="1"/>
        <d v="2025-07-21T08:26:46" u="1"/>
        <d v="2025-07-21T09:57:57" u="1"/>
        <d v="2025-07-21T10:01:37" u="1"/>
        <d v="2025-07-21T10:13:39" u="1"/>
        <d v="2025-07-21T10:25:58" u="1"/>
        <d v="2025-07-21T10:26:18" u="1"/>
        <d v="2025-07-21T10:35:40" u="1"/>
        <d v="2025-07-21T10:46:11" u="1"/>
        <d v="2025-07-21T11:55:35" u="1"/>
        <d v="2025-07-21T12:10:21" u="1"/>
        <d v="2025-07-21T12:31:42" u="1"/>
        <d v="2025-07-21T13:03:28" u="1"/>
        <d v="2025-07-21T13:37:11" u="1"/>
        <d v="2025-07-21T15:30:48" u="1"/>
        <d v="2025-07-21T16:18:25" u="1"/>
        <d v="2025-07-21T16:20:20" u="1"/>
        <d v="2025-07-21T16:23:26" u="1"/>
        <d v="2025-07-21T16:35:59" u="1"/>
        <d v="2025-07-21T17:10:51" u="1"/>
        <d v="2025-07-21T17:23:02" u="1"/>
        <d v="2025-07-21T17:38:31" u="1"/>
        <d v="2025-07-21T17:58:01" u="1"/>
        <d v="2025-07-21T18:29:17" u="1"/>
        <d v="2025-07-21T21:49:37" u="1"/>
        <d v="2025-07-21T22:39:18" u="1"/>
        <d v="2025-07-21T22:59:13" u="1"/>
        <d v="2025-07-21T23:04:04" u="1"/>
        <d v="2025-07-22T00:27:25" u="1"/>
        <d v="2025-07-22T00:38:45" u="1"/>
        <d v="2025-07-22T01:05:29" u="1"/>
        <d v="2025-07-22T05:55:19" u="1"/>
        <d v="2025-07-22T06:40:56" u="1"/>
        <d v="2025-07-22T06:46:29" u="1"/>
        <d v="2025-07-22T06:48:59" u="1"/>
        <d v="2025-07-22T06:52:17" u="1"/>
        <d v="2025-07-22T06:54:02" u="1"/>
        <d v="2025-07-22T06:56:38" u="1"/>
        <d v="2025-07-22T07:01:14" u="1"/>
        <d v="2025-07-22T07:02:05" u="1"/>
        <d v="2025-07-22T07:25:33" u="1"/>
        <d v="2025-07-22T07:27:15" u="1"/>
        <d v="2025-07-22T07:31:27" u="1"/>
        <d v="2025-07-22T07:45:15" u="1"/>
        <d v="2025-07-22T08:10:46" u="1"/>
        <d v="2025-07-22T08:15:38" u="1"/>
        <d v="2025-07-22T08:20:32" u="1"/>
        <d v="2025-07-22T08:31:53" u="1"/>
        <d v="2025-07-22T08:36:14" u="1"/>
        <d v="2025-07-22T08:42:17" u="1"/>
        <d v="2025-07-22T08:49:35" u="1"/>
        <d v="2025-07-22T08:56:58" u="1"/>
        <d v="2025-07-22T09:16:30" u="1"/>
        <d v="2025-07-22T09:16:38" u="1"/>
        <d v="2025-07-22T09:30:58" u="1"/>
        <d v="2025-07-22T09:33:04" u="1"/>
        <d v="2025-07-22T09:35:23" u="1"/>
        <d v="2025-07-22T09:36:02" u="1"/>
        <d v="2025-07-22T09:39:45" u="1"/>
        <d v="2025-07-22T09:40:12" u="1"/>
        <d v="2025-07-22T09:42:21" u="1"/>
        <d v="2025-07-22T10:04:57" u="1"/>
        <d v="2025-07-22T10:07:37" u="1"/>
        <d v="2025-07-22T10:52:16" u="1"/>
        <d v="2025-07-22T10:53:14" u="1"/>
        <d v="2025-07-22T11:00:07" u="1"/>
        <d v="2025-07-22T11:00:31" u="1"/>
        <d v="2025-07-22T11:04:20" u="1"/>
        <d v="2025-07-22T11:06:29" u="1"/>
        <d v="2025-07-22T11:07:21" u="1"/>
        <d v="2025-07-22T11:09:35" u="1"/>
        <d v="2025-07-22T11:30:46" u="1"/>
        <d v="2025-07-22T11:33:13" u="1"/>
        <d v="2025-07-22T11:34:07" u="1"/>
        <d v="2025-07-22T11:34:41" u="1"/>
        <d v="2025-07-22T11:49:29" u="1"/>
        <d v="2025-07-22T12:00:22" u="1"/>
        <d v="2025-07-22T12:55:22" u="1"/>
        <d v="2025-07-22T12:56:12" u="1"/>
        <d v="2025-07-22T13:37:48" u="1"/>
        <d v="2025-07-22T13:41:47" u="1"/>
        <d v="2025-07-22T13:45:41" u="1"/>
        <d v="2025-07-22T14:31:21" u="1"/>
        <d v="2025-07-22T14:31:40" u="1"/>
        <d v="2025-07-22T14:41:38" u="1"/>
        <d v="2025-07-22T14:47:45" u="1"/>
        <d v="2025-07-22T15:00:56" u="1"/>
        <d v="2025-07-22T15:05:01" u="1"/>
        <d v="2025-07-22T15:09:47" u="1"/>
        <d v="2025-07-22T15:16:07" u="1"/>
        <d v="2025-07-22T15:26:15" u="1"/>
        <d v="2025-07-22T15:29:56" u="1"/>
        <d v="2025-07-22T15:34:25" u="1"/>
        <d v="2025-07-22T16:32:42" u="1"/>
        <d v="2025-07-22T17:09:21" u="1"/>
        <d v="2025-07-22T18:19:27" u="1"/>
        <d v="2025-07-22T18:51:28" u="1"/>
        <d v="2025-07-22T20:07:09" u="1"/>
        <d v="2025-07-22T20:20:52" u="1"/>
        <d v="2025-07-22T20:41:34" u="1"/>
        <d v="2025-07-22T21:14:45" u="1"/>
        <d v="2025-07-22T22:24:01" u="1"/>
        <d v="2025-07-22T22:51:30" u="1"/>
        <d v="2025-07-23T02:01:08" u="1"/>
        <d v="2025-07-23T02:07:15" u="1"/>
        <d v="2025-07-23T02:30:16" u="1"/>
        <d v="2025-07-23T03:16:53" u="1"/>
        <d v="2025-07-23T06:49:08" u="1"/>
        <d v="2025-07-23T06:58:40" u="1"/>
        <d v="2025-07-23T07:01:07" u="1"/>
        <d v="2025-07-23T07:05:08" u="1"/>
        <d v="2025-07-23T07:06:14" u="1"/>
        <d v="2025-07-23T07:11:28" u="1"/>
        <d v="2025-07-23T07:12:07" u="1"/>
        <d v="2025-07-23T07:14:18" u="1"/>
        <d v="2025-07-23T07:33:15" u="1"/>
        <d v="2025-07-23T07:36:43" u="1"/>
        <d v="2025-07-23T07:44:55" u="1"/>
        <d v="2025-07-23T08:14:11" u="1"/>
        <d v="2025-07-23T08:17:25" u="1"/>
        <d v="2025-07-23T08:31:28" u="1"/>
        <d v="2025-07-23T08:42:13" u="1"/>
        <d v="2025-07-23T08:48:36" u="1"/>
        <d v="2025-07-23T08:49:02" u="1"/>
        <d v="2025-07-23T08:49:30" u="1"/>
        <d v="2025-07-23T08:53:11" u="1"/>
        <d v="2025-07-23T09:03:02" u="1"/>
        <d v="2025-07-23T09:30:33" u="1"/>
        <d v="2025-07-23T09:31:05" u="1"/>
        <d v="2025-07-23T09:52:26" u="1"/>
        <d v="2025-07-23T09:55:45" u="1"/>
        <d v="2025-07-23T09:56:28" u="1"/>
        <d v="2025-07-23T09:58:16" u="1"/>
        <d v="2025-07-23T09:58:55" u="1"/>
        <d v="2025-07-23T10:05:04" u="1"/>
        <d v="2025-07-23T10:06:18" u="1"/>
        <d v="2025-07-23T10:18:30" u="1"/>
        <d v="2025-07-23T10:34:04" u="1"/>
        <d v="2025-07-23T10:47:02" u="1"/>
        <d v="2025-07-23T11:13:52" u="1"/>
        <d v="2025-07-23T11:17:44" u="1"/>
        <d v="2025-07-23T11:20:42" u="1"/>
        <d v="2025-07-23T11:22:05" u="1"/>
        <d v="2025-07-23T11:27:30" u="1"/>
        <d v="2025-07-23T12:14:00" u="1"/>
        <d v="2025-07-23T12:19:16" u="1"/>
        <d v="2025-07-23T12:31:42" u="1"/>
        <d v="2025-07-23T12:32:10" u="1"/>
        <d v="2025-07-23T13:05:07" u="1"/>
        <d v="2025-07-23T13:09:13" u="1"/>
        <d v="2025-07-23T13:24:44" u="1"/>
        <d v="2025-07-23T13:26:36" u="1"/>
        <d v="2025-07-23T13:29:58" u="1"/>
        <d v="2025-07-23T13:55:16" u="1"/>
        <d v="2025-07-23T14:03:32" u="1"/>
        <d v="2025-07-23T14:35:57" u="1"/>
        <d v="2025-07-23T14:42:22" u="1"/>
        <d v="2025-07-23T14:54:38" u="1"/>
        <d v="2025-07-23T14:57:14" u="1"/>
        <d v="2025-07-23T15:03:23" u="1"/>
        <d v="2025-07-23T15:12:38" u="1"/>
        <d v="2025-07-23T16:02:49" u="1"/>
        <d v="2025-07-23T16:15:26" u="1"/>
        <d v="2025-07-23T16:56:59" u="1"/>
        <d v="2025-07-23T17:27:28" u="1"/>
        <d v="2025-07-23T19:51:02" u="1"/>
        <d v="2025-07-23T19:57:14" u="1"/>
        <d v="2025-07-23T20:06:20" u="1"/>
        <d v="2025-07-23T20:20:36" u="1"/>
        <d v="2025-07-23T20:26:42" u="1"/>
        <d v="2025-07-23T23:17:13" u="1"/>
        <d v="2025-07-24T00:31:00" u="1"/>
        <d v="2025-07-24T01:48:06" u="1"/>
        <d v="2025-07-24T01:50:13" u="1"/>
        <d v="2025-07-24T02:00:14" u="1"/>
        <d v="2025-07-24T05:20:49" u="1"/>
        <d v="2025-07-24T05:41:28" u="1"/>
        <d v="2025-07-24T05:41:58" u="1"/>
        <d v="2025-07-24T05:59:17" u="1"/>
        <d v="2025-07-24T06:42:54" u="1"/>
        <d v="2025-07-24T06:50:59" u="1"/>
        <d v="2025-07-24T07:01:22" u="1"/>
        <d v="2025-07-24T07:04:19" u="1"/>
        <d v="2025-07-24T07:38:22" u="1"/>
        <d v="2025-07-24T07:59:43" u="1"/>
        <d v="2025-07-24T08:02:25" u="1"/>
        <d v="2025-07-24T08:10:31" u="1"/>
        <d v="2025-07-24T08:41:51" u="1"/>
        <d v="2025-07-24T10:22:46" u="1"/>
        <d v="2025-07-24T11:25:24" u="1"/>
        <d v="2025-07-24T12:13:50" u="1"/>
        <d v="2025-07-24T12:15:45" u="1"/>
        <d v="2025-07-24T12:39:24" u="1"/>
        <d v="2025-07-24T12:59:47" u="1"/>
        <d v="2025-07-24T13:00:39" u="1"/>
        <d v="2025-07-24T13:07:52" u="1"/>
        <d v="2025-07-24T13:39:25" u="1"/>
        <d v="2025-07-24T14:49:03" u="1"/>
        <d v="2025-07-24T14:49:50" u="1"/>
        <d v="2025-07-24T15:05:22" u="1"/>
        <d v="2025-07-24T15:43:37" u="1"/>
        <d v="2025-07-24T16:19:47" u="1"/>
        <d v="2025-07-24T17:14:17" u="1"/>
        <d v="2025-07-24T18:18:02" u="1"/>
        <d v="2025-07-24T20:38:26" u="1"/>
        <d v="2025-07-24T20:47:17" u="1"/>
        <d v="2025-07-24T21:01:14" u="1"/>
        <d v="2025-07-24T21:05:36" u="1"/>
        <d v="2025-07-24T22:02:36" u="1"/>
        <d v="2025-07-24T22:12:21" u="1"/>
        <d v="2025-07-24T22:42:56" u="1"/>
        <d v="2025-07-25T02:22:04" u="1"/>
        <d v="2025-07-25T05:15:50" u="1"/>
        <d v="2025-07-25T06:00:10" u="1"/>
        <d v="2025-07-25T06:02:05" u="1"/>
        <d v="2025-07-25T08:04:54" u="1"/>
        <d v="2025-07-25T08:43:20" u="1"/>
        <d v="2025-07-25T09:16:10" u="1"/>
        <d v="2025-07-25T10:15:02" u="1"/>
        <d v="2025-07-25T12:10:31" u="1"/>
        <d v="2025-07-25T13:05:18" u="1"/>
        <d v="2025-07-25T13:53:26" u="1"/>
        <d v="2025-07-25T14:00:09" u="1"/>
        <d v="2025-07-25T14:18:47" u="1"/>
        <d v="2025-07-25T15:46:52" u="1"/>
        <d v="2025-07-25T16:23:43" u="1"/>
        <d v="2025-07-25T16:51:10" u="1"/>
        <d v="2025-07-25T23:51:29" u="1"/>
        <d v="2025-07-26T03:41:16" u="1"/>
        <d v="2025-07-26T03:47:45" u="1"/>
        <d v="2025-07-26T04:52:31" u="1"/>
        <d v="2025-07-26T05:04:19" u="1"/>
        <d v="2025-07-26T05:50:55" u="1"/>
        <d v="2025-07-26T07:13:36" u="1"/>
        <d v="2025-07-26T07:53:00" u="1"/>
        <d v="2025-07-26T08:19:09" u="1"/>
        <d v="2025-07-26T08:44:07" u="1"/>
        <d v="2025-07-26T09:10:59" u="1"/>
        <d v="2025-07-26T12:25:06" u="1"/>
        <d v="2025-07-26T12:30:51" u="1"/>
        <d v="2025-07-26T12:38:55" u="1"/>
        <d v="2025-07-26T14:25:25" u="1"/>
        <d v="2025-07-26T18:06:20" u="1"/>
        <d v="2025-07-26T18:10:32" u="1"/>
        <d v="2025-07-26T18:27:17" u="1"/>
        <d v="2025-07-26T19:23:01" u="1"/>
        <d v="2025-07-26T19:37:51" u="1"/>
        <d v="2025-07-26T19:49:08" u="1"/>
        <d v="2025-07-26T19:51:00" u="1"/>
        <d v="2025-07-26T20:12:50" u="1"/>
        <d v="2025-07-26T20:17:02" u="1"/>
        <d v="2025-07-26T20:26:36" u="1"/>
        <d v="2025-07-26T20:26:51" u="1"/>
        <d v="2025-07-26T20:30:54" u="1"/>
        <d v="2025-07-26T20:33:59" u="1"/>
        <d v="2025-07-26T21:01:48" u="1"/>
        <d v="2025-07-26T22:22:01" u="1"/>
        <d v="2025-07-26T22:29:53" u="1"/>
        <d v="2025-07-26T22:43:07" u="1"/>
        <d v="2025-07-27T03:21:43" u="1"/>
        <d v="2025-07-27T07:16:56" u="1"/>
        <d v="2025-07-27T07:36:12" u="1"/>
        <d v="2025-07-27T08:17:43" u="1"/>
        <d v="2025-07-27T08:29:54" u="1"/>
        <d v="2025-07-27T08:32:16" u="1"/>
        <d v="2025-07-27T15:41:11" u="1"/>
        <d v="2025-07-27T18:21:34" u="1"/>
        <d v="2025-07-27T18:32:40" u="1"/>
        <d v="2025-07-27T18:34:39" u="1"/>
        <d v="2025-07-27T19:00:04" u="1"/>
        <d v="2025-07-27T21:01:33" u="1"/>
        <d v="2025-07-28T05:38:12" u="1"/>
        <d v="2025-07-28T06:22:02" u="1"/>
        <d v="2025-07-28T06:22:12" u="1"/>
        <d v="2025-07-28T07:36:32" u="1"/>
        <d v="2025-07-28T07:44:12" u="1"/>
        <d v="2025-07-28T07:46:00" u="1"/>
        <d v="2025-07-28T09:55:21" u="1"/>
        <d v="2025-07-28T11:00:48" u="1"/>
        <d v="2025-07-28T12:17:27" u="1"/>
        <d v="2025-07-28T12:23:34" u="1"/>
        <d v="2025-07-28T13:28:11" u="1"/>
        <d v="2025-07-28T13:28:52" u="1"/>
        <d v="2025-07-28T14:39:30" u="1"/>
        <d v="2025-07-28T14:43:43" u="1"/>
        <d v="2025-07-28T15:00:34" u="1"/>
        <d v="2025-07-28T15:25:10" u="1"/>
        <d v="2025-07-28T16:28:51" u="1"/>
        <d v="2025-07-28T16:43:03" u="1"/>
        <d v="2025-07-28T16:47:08" u="1"/>
        <d v="2025-07-29T01:17:23" u="1"/>
        <d v="2025-07-29T06:39:55" u="1"/>
        <d v="2025-07-29T06:41:49" u="1"/>
        <d v="2025-07-29T06:49:44" u="1"/>
        <d v="2025-07-29T08:01:39" u="1"/>
        <d v="2025-07-29T08:04:37" u="1"/>
        <d v="2025-07-29T08:14:45" u="1"/>
        <d v="2025-07-29T08:21:51" u="1"/>
        <d v="2025-07-29T09:18:00" u="1"/>
        <d v="2025-07-29T09:26:08" u="1"/>
        <d v="2025-07-29T10:48:09" u="1"/>
        <d v="2025-07-29T10:49:03" u="1"/>
        <d v="2025-07-29T11:19:28" u="1"/>
        <d v="2025-07-29T11:34:15" u="1"/>
        <d v="2025-07-29T11:58:00" u="1"/>
        <d v="2025-07-29T12:34:04" u="1"/>
        <d v="2025-07-29T12:35:40" u="1"/>
        <d v="2025-07-29T13:54:27" u="1"/>
        <d v="2025-07-29T14:00:29" u="1"/>
        <d v="2025-07-29T14:06:36" u="1"/>
        <d v="2025-07-29T16:06:17" u="1"/>
        <d v="2025-07-29T17:12:13" u="1"/>
        <d v="2025-07-29T18:08:25" u="1"/>
        <d v="2025-07-29T20:24:24" u="1"/>
        <d v="2025-07-29T22:32:37" u="1"/>
        <d v="2025-07-29T22:37:02" u="1"/>
        <d v="2025-07-29T23:08:41" u="1"/>
        <d v="2025-07-29T23:17:42" u="1"/>
        <d v="2025-07-30T04:51:37" u="1"/>
        <d v="2025-07-30T06:19:26" u="1"/>
        <d v="2025-07-30T07:15:22" u="1"/>
        <d v="2025-07-30T07:16:26" u="1"/>
        <d v="2025-07-30T07:51:25" u="1"/>
        <d v="2025-07-30T07:56:58" u="1"/>
        <d v="2025-07-30T08:15:31" u="1"/>
        <d v="2025-07-30T08:47:32" u="1"/>
        <d v="2025-07-30T08:59:18" u="1"/>
        <d v="2025-07-30T09:01:04" u="1"/>
        <d v="2025-07-30T10:56:24" u="1"/>
        <d v="2025-07-30T11:21:01" u="1"/>
        <d v="2025-07-30T11:55:00" u="1"/>
        <d v="2025-07-30T12:03:01" u="1"/>
        <d v="2025-07-30T12:13:12" u="1"/>
        <d v="2025-07-30T12:20:51" u="1"/>
        <d v="2025-07-30T12:22:10" u="1"/>
        <d v="2025-07-30T12:23:10" u="1"/>
        <d v="2025-07-30T12:36:17" u="1"/>
        <d v="2025-07-30T12:36:36" u="1"/>
        <d v="2025-07-30T12:41:32" u="1"/>
        <d v="2025-07-30T12:51:15" u="1"/>
        <d v="2025-07-30T13:09:05" u="1"/>
        <d v="2025-07-30T13:37:13" u="1"/>
        <d v="2025-07-30T13:45:21" u="1"/>
        <d v="2025-07-30T13:58:27" u="1"/>
        <d v="2025-07-30T14:00:32" u="1"/>
        <d v="2025-07-30T15:09:55" u="1"/>
        <d v="2025-07-30T15:11:21" u="1"/>
        <d v="2025-07-30T16:05:38" u="1"/>
        <d v="2025-07-30T17:42:01" u="1"/>
        <d v="2025-07-30T18:14:19" u="1"/>
        <d v="2025-07-30T18:17:15" u="1"/>
        <d v="2025-07-30T20:37:32" u="1"/>
        <d v="2025-07-30T21:26:26" u="1"/>
        <d v="2025-07-30T21:55:27" u="1"/>
        <d v="2025-07-30T22:15:41" u="1"/>
        <d v="2025-07-30T22:38:01" u="1"/>
        <d v="2025-07-30T22:52:28" u="1"/>
        <d v="2025-07-31T00:12:35" u="1"/>
        <d v="2025-07-31T01:26:37" u="1"/>
        <d v="2025-07-31T02:10:17" u="1"/>
        <d v="2025-07-31T02:20:37" u="1"/>
        <d v="2025-07-31T03:18:38" u="1"/>
        <d v="2025-07-31T05:43:51" u="1"/>
        <d v="2025-07-31T06:00:08" u="1"/>
        <d v="2025-07-31T06:03:49" u="1"/>
        <d v="2025-07-31T06:57:48" u="1"/>
        <d v="2025-07-31T07:02:02" u="1"/>
        <d v="2025-07-31T07:40:41" u="1"/>
        <d v="2025-07-31T08:19:35" u="1"/>
        <d v="2025-07-31T08:24:56" u="1"/>
        <d v="2025-07-31T08:41:20" u="1"/>
        <d v="2025-07-31T08:42:19" u="1"/>
        <d v="2025-07-31T09:38:34" u="1"/>
        <d v="2025-07-31T10:06:52" u="1"/>
        <d v="2025-07-31T10:09:36" u="1"/>
        <d v="2025-07-31T10:19:37" u="1"/>
        <d v="2025-07-31T10:30:53" u="1"/>
        <d v="2025-07-31T10:31:17" u="1"/>
        <d v="2025-07-31T10:34:03" u="1"/>
        <d v="2025-07-31T10:38:57" u="1"/>
        <d v="2025-07-31T10:44:23" u="1"/>
        <d v="2025-07-31T10:45:48" u="1"/>
        <d v="2025-07-31T11:07:21" u="1"/>
        <d v="2025-07-31T11:19:26" u="1"/>
        <d v="2025-07-31T11:29:27" u="1"/>
        <d v="2025-07-31T11:43:11" u="1"/>
        <d v="2025-07-31T11:45:23" u="1"/>
        <d v="2025-07-31T12:00:31" u="1"/>
        <d v="2025-07-31T12:31:29" u="1"/>
        <d v="2025-07-31T12:31:35" u="1"/>
        <d v="2025-07-31T12:51:06" u="1"/>
        <d v="2025-07-31T12:53:39" u="1"/>
        <d v="2025-07-31T13:36:19" u="1"/>
        <d v="2025-07-31T14:05:49" u="1"/>
        <d v="2025-07-31T14:19:40" u="1"/>
        <d v="2025-07-31T15:04:54" u="1"/>
        <d v="2025-07-31T15:25:58" u="1"/>
        <d v="2025-07-31T15:29:23" u="1"/>
        <d v="2025-07-31T15:29:24" u="1"/>
        <d v="2025-07-31T15:29:54" u="1"/>
        <d v="2025-07-31T15:33:26" u="1"/>
        <d v="2025-07-31T16:21:17" u="1"/>
        <d v="2025-07-31T16:43:44" u="1"/>
        <d v="2025-07-31T18:58:38" u="1"/>
        <d v="2025-07-31T19:17:23" u="1"/>
        <d v="2025-07-31T19:32:16" u="1"/>
        <d v="2025-07-31T20:10:27" u="1"/>
        <d v="2025-07-31T20:11:26" u="1"/>
        <d v="2025-07-31T20:27:27" u="1"/>
        <d v="2025-07-31T20:27:28" u="1"/>
        <d v="2025-07-31T20:27:48" u="1"/>
        <d v="2025-07-31T20:29:11" u="1"/>
        <d v="2025-07-31T20:39:40" u="1"/>
        <d v="2025-07-31T20:55:24" u="1"/>
        <d v="2025-07-31T20:55:53" u="1"/>
        <d v="2025-07-31T20:56:02" u="1"/>
        <d v="2025-07-31T20:58:47" u="1"/>
        <d v="2025-07-31T20:58:57" u="1"/>
        <d v="2025-07-31T21:00:52" u="1"/>
        <d v="2025-07-31T21:01:12" u="1"/>
        <d v="2025-07-31T21:01:36" u="1"/>
        <d v="2025-07-31T21:02:53" u="1"/>
        <d v="2025-07-31T21:07:47" u="1"/>
        <d v="2025-07-31T21:13:41" u="1"/>
        <d v="2025-07-31T21:46:42" u="1"/>
        <d v="2025-07-31T22:01:39" u="1"/>
        <d v="2025-07-31T22:04:52" u="1"/>
        <d v="2025-07-31T22:07:33" u="1"/>
        <d v="2025-07-31T22:15:38" u="1"/>
        <d v="2025-07-31T22:19:23" u="1"/>
        <d v="2025-07-31T22:29:33" u="1"/>
        <d v="2025-07-31T23:02:36" u="1"/>
        <d v="2025-07-31T23:13:52" u="1"/>
        <d v="2025-08-01T01:08:39" u="1"/>
        <d v="2025-08-01T01:21:32" u="1"/>
        <d v="2025-08-01T03:56:54" u="1"/>
        <d v="2025-08-01T04:09:00" u="1"/>
        <d v="2025-08-01T04:10:58" u="1"/>
        <d v="2025-08-01T04:13:26" u="1"/>
        <d v="2025-08-01T04:17:58" u="1"/>
        <d v="2025-08-01T04:18:43" u="1"/>
        <d v="2025-08-01T05:05:49" u="1"/>
        <d v="2025-08-01T05:07:42" u="1"/>
        <d v="2025-08-01T05:22:47" u="1"/>
        <d v="2025-08-01T05:58:49" u="1"/>
        <d v="2025-08-01T06:06:12" u="1"/>
        <d v="2025-08-01T06:42:22" u="1"/>
        <d v="2025-08-01T06:44:09" u="1"/>
        <d v="2025-08-01T06:45:31" u="1"/>
        <d v="2025-08-01T07:14:25" u="1"/>
        <d v="2025-08-01T07:47:12" u="1"/>
        <d v="2025-08-01T08:29:22" u="1"/>
        <d v="2025-08-01T08:31:07" u="1"/>
        <d v="2025-08-01T08:31:37" u="1"/>
        <d v="2025-08-01T08:33:09" u="1"/>
        <d v="2025-08-01T08:36:04" u="1"/>
        <d v="2025-08-01T08:39:25" u="1"/>
        <d v="2025-08-01T08:43:05" u="1"/>
        <d v="2025-08-01T09:32:17" u="1"/>
        <d v="2025-08-01T09:42:36" u="1"/>
        <d v="2025-08-01T09:57:05" u="1"/>
        <d v="2025-08-01T10:07:18" u="1"/>
        <d v="2025-08-01T10:14:34" u="1"/>
        <d v="2025-08-01T10:24:02" u="1"/>
        <d v="2025-08-01T10:36:56" u="1"/>
        <d v="2025-08-01T10:57:36" u="1"/>
        <d v="2025-08-01T11:15:39" u="1"/>
        <d v="2025-08-01T11:15:47" u="1"/>
        <d v="2025-08-01T11:27:43" u="1"/>
        <d v="2025-08-01T12:28:36" u="1"/>
        <d v="2025-08-01T12:35:35" u="1"/>
        <d v="2025-08-01T12:38:53" u="1"/>
        <d v="2025-08-01T12:43:04" u="1"/>
        <d v="2025-08-01T12:50:56" u="1"/>
        <d v="2025-08-01T13:01:47" u="1"/>
        <d v="2025-08-01T13:59:44" u="1"/>
        <d v="2025-08-01T13:59:47" u="1"/>
        <d v="2025-08-01T14:06:35" u="1"/>
        <d v="2025-08-01T15:15:38" u="1"/>
        <d v="2025-08-01T15:22:08" u="1"/>
        <d v="2025-08-01T15:33:51" u="1"/>
        <d v="2025-08-01T16:05:27" u="1"/>
        <d v="2025-08-01T16:19:51" u="1"/>
        <d v="2025-08-01T16:20:04" u="1"/>
        <d v="2025-08-01T16:21:29" u="1"/>
        <d v="2025-08-01T16:21:59" u="1"/>
        <d v="2025-08-01T16:43:27" u="1"/>
        <d v="2025-08-01T17:07:11" u="1"/>
        <d v="2025-08-01T17:20:41" u="1"/>
        <d v="2025-08-01T17:30:44" u="1"/>
        <d v="2025-08-01T17:41:16" u="1"/>
        <d v="2025-08-01T17:44:19" u="1"/>
        <d v="2025-08-01T18:56:56" u="1"/>
        <d v="2025-08-01T19:01:07" u="1"/>
        <d v="2025-08-01T19:04:09" u="1"/>
        <d v="2025-08-01T19:07:00" u="1"/>
        <d v="2025-08-01T19:09:40" u="1"/>
        <d v="2025-08-01T19:52:19" u="1"/>
        <d v="2025-08-01T20:18:33" u="1"/>
        <d v="2025-08-01T20:51:55" u="1"/>
        <d v="2025-08-01T22:01:48" u="1"/>
        <d v="2025-08-01T22:56:36" u="1"/>
        <d v="2025-08-02T05:05:03" u="1"/>
        <d v="2025-08-02T05:20:02" u="1"/>
        <d v="2025-08-02T05:20:26" u="1"/>
        <d v="2025-08-02T05:20:35" u="1"/>
        <d v="2025-08-02T05:20:37" u="1"/>
        <d v="2025-08-02T05:24:43" u="1"/>
        <d v="2025-08-02T05:42:25" u="1"/>
        <d v="2025-08-02T05:43:51" u="1"/>
        <d v="2025-08-02T05:44:50" u="1"/>
        <d v="2025-08-02T06:10:38" u="1"/>
        <d v="2025-08-02T06:28:49" u="1"/>
        <d v="2025-08-02T06:35:37" u="1"/>
        <d v="2025-08-02T06:41:43" u="1"/>
        <d v="2025-08-02T07:18:20" u="1"/>
        <d v="2025-08-02T08:10:04" u="1"/>
        <d v="2025-08-02T08:19:48" u="1"/>
        <d v="2025-08-02T08:22:45" u="1"/>
        <d v="2025-08-02T09:42:18" u="1"/>
        <d v="2025-08-02T11:55:27" u="1"/>
        <d v="2025-08-02T12:03:09" u="1"/>
        <d v="2025-08-02T13:18:48" u="1"/>
        <d v="2025-08-02T13:34:50" u="1"/>
        <d v="2025-08-02T13:36:32" u="1"/>
        <d v="2025-08-02T13:38:38" u="1"/>
        <d v="2025-08-02T14:04:09" u="1"/>
        <d v="2025-08-02T15:08:35" u="1"/>
        <d v="2025-08-02T16:09:45" u="1"/>
        <d v="2025-08-02T16:19:33" u="1"/>
        <d v="2025-08-02T16:22:11" u="1"/>
        <d v="2025-08-02T16:22:37" u="1"/>
        <d v="2025-08-02T16:33:06" u="1"/>
        <d v="2025-08-02T16:33:33" u="1"/>
        <d v="2025-08-02T17:40:42" u="1"/>
        <d v="2025-08-02T18:22:46" u="1"/>
        <d v="2025-08-02T18:37:10" u="1"/>
        <d v="2025-08-02T18:47:22" u="1"/>
        <d v="2025-08-02T18:51:24" u="1"/>
        <d v="2025-08-02T18:53:05" u="1"/>
        <d v="2025-08-02T19:01:58" u="1"/>
        <d v="2025-08-02T19:32:24" u="1"/>
        <d v="2025-08-02T19:38:52" u="1"/>
        <d v="2025-08-02T19:52:43" u="1"/>
        <d v="2025-08-02T20:40:45" u="1"/>
        <d v="2025-08-02T21:16:02" u="1"/>
        <d v="2025-08-02T21:16:09" u="1"/>
        <d v="2025-08-02T21:41:42" u="1"/>
        <d v="2025-08-02T22:15:29" u="1"/>
        <d v="2025-08-02T22:29:05" u="1"/>
        <d v="2025-08-02T22:50:57" u="1"/>
        <d v="2025-08-02T23:06:45" u="1"/>
        <d v="2025-08-03T00:54:17" u="1"/>
        <d v="2025-08-03T01:03:13" u="1"/>
        <d v="2025-08-03T01:11:17" u="1"/>
        <d v="2025-08-03T02:30:27" u="1"/>
        <d v="2025-08-03T03:42:55" u="1"/>
        <d v="2025-08-03T05:43:25" u="1"/>
        <d v="2025-08-03T06:08:25" u="1"/>
        <d v="2025-08-03T08:15:59" u="1"/>
        <d v="2025-08-03T08:24:38" u="1"/>
        <d v="2025-08-03T08:41:06" u="1"/>
        <d v="2025-08-03T10:35:10" u="1"/>
        <d v="2025-08-03T10:48:28" u="1"/>
        <d v="2025-08-03T11:34:20" u="1"/>
        <d v="2025-08-03T11:55:01" u="1"/>
        <d v="2025-08-03T12:51:26" u="1"/>
        <d v="2025-08-03T12:53:40" u="1"/>
        <d v="2025-08-03T17:24:37" u="1"/>
        <d v="2025-08-03T17:57:38" u="1"/>
        <d v="2025-08-03T18:11:31" u="1"/>
        <d v="2025-08-03T20:45:22" u="1"/>
        <d v="2025-08-03T20:49:10" u="1"/>
        <d v="2025-08-03T20:53:38" u="1"/>
        <d v="2025-08-03T21:07:36" u="1"/>
        <d v="2025-08-03T21:08:19" u="1"/>
        <d v="2025-08-03T22:54:22" u="1"/>
        <d v="2025-08-03T22:55:29" u="1"/>
        <d v="2025-08-03T23:00:06" u="1"/>
        <d v="2025-08-04T00:03:58" u="1"/>
        <d v="2025-08-04T02:25:30" u="1"/>
        <d v="2025-08-04T02:27:41" u="1"/>
        <d v="2025-08-04T03:34:30" u="1"/>
        <d v="2025-08-04T04:07:50" u="1"/>
        <d v="2025-08-04T05:55:24" u="1"/>
        <d v="2025-08-04T05:56:31" u="1"/>
        <d v="2025-08-04T06:01:31" u="1"/>
        <d v="2025-08-04T08:00:42" u="1"/>
        <d v="2025-08-04T08:24:51" u="1"/>
        <d v="2025-08-04T08:49:16" u="1"/>
        <d v="2025-08-04T09:10:56" u="1"/>
        <d v="2025-08-04T09:18:17" u="1"/>
        <d v="2025-08-04T09:26:34" u="1"/>
        <d v="2025-08-04T10:00:22" u="1"/>
        <d v="2025-08-04T10:20:09" u="1"/>
        <d v="2025-08-04T11:28:34" u="1"/>
        <d v="2025-08-04T12:28:13" u="1"/>
        <d v="2025-08-04T13:19:52" u="1"/>
        <d v="2025-08-04T13:32:29" u="1"/>
        <d v="2025-08-04T14:12:29" u="1"/>
        <d v="2025-08-04T14:18:37" u="1"/>
        <d v="2025-08-04T14:37:34" u="1"/>
        <d v="2025-08-04T14:45:32" u="1"/>
        <d v="2025-08-04T14:50:53" u="1"/>
        <d v="2025-08-04T15:18:55" u="1"/>
        <d v="2025-08-04T15:18:57" u="1"/>
        <d v="2025-08-04T16:08:16" u="1"/>
        <d v="2025-08-04T16:16:58" u="1"/>
        <d v="2025-08-04T16:30:04" u="1"/>
        <d v="2025-08-04T17:16:24" u="1"/>
        <d v="2025-08-04T18:01:59" u="1"/>
        <d v="2025-08-04T20:46:25" u="1"/>
        <d v="2025-08-04T21:36:33" u="1"/>
        <d v="2025-08-05T08:01:05" u="1"/>
        <d v="2025-08-05T08:44:24" u="1"/>
        <d v="2025-08-05T09:01:13" u="1"/>
        <d v="2025-08-05T09:05:30" u="1"/>
        <d v="2025-08-05T09:43:49" u="1"/>
        <d v="2025-08-05T09:54:50" u="1"/>
        <d v="2025-08-05T09:57:13" u="1"/>
        <d v="2025-08-05T10:01:24" u="1"/>
        <d v="2025-08-05T10:04:26" u="1"/>
        <d v="2025-08-05T10:11:13" u="1"/>
        <d v="2025-08-05T10:36:52" u="1"/>
        <d v="2025-08-05T10:58:08" u="1"/>
        <d v="2025-08-05T11:38:57" u="1"/>
        <d v="2025-08-05T11:55:38" u="1"/>
        <d v="2025-08-05T12:23:15" u="1"/>
        <d v="2025-08-05T12:57:19" u="1"/>
        <d v="2025-08-05T13:03:27" u="1"/>
        <d v="2025-08-05T13:05:34" u="1"/>
        <d v="2025-08-05T13:37:38" u="1"/>
        <d v="2025-08-05T13:38:33" u="1"/>
        <d v="2025-08-05T13:45:47" u="1"/>
        <d v="2025-08-05T14:16:26" u="1"/>
        <d v="2025-08-05T14:42:08" u="1"/>
        <d v="2025-08-05T14:52:46" u="1"/>
        <d v="2025-08-05T15:01:12" u="1"/>
        <d v="2025-08-05T15:09:51" u="1"/>
        <d v="2025-08-05T15:59:43" u="1"/>
        <d v="2025-08-05T16:03:40" u="1"/>
        <d v="2025-08-05T17:10:33" u="1"/>
        <d v="2025-08-05T18:38:50" u="1"/>
        <d v="2025-08-05T21:16:22" u="1"/>
        <d v="2025-08-05T21:20:03" u="1"/>
        <d v="2025-08-05T22:06:45" u="1"/>
        <d v="2025-08-05T22:10:40" u="1"/>
        <d v="2025-08-05T23:08:16" u="1"/>
        <d v="2025-08-06T00:14:00" u="1"/>
        <d v="2025-08-06T01:16:42" u="1"/>
        <d v="2025-08-06T05:17:04" u="1"/>
        <d v="2025-08-06T05:48:00" u="1"/>
        <d v="2025-08-06T06:15:42" u="1"/>
        <d v="2025-08-06T06:44:37" u="1"/>
        <d v="2025-08-06T06:47:15" u="1"/>
        <d v="2025-08-06T06:50:51" u="1"/>
        <d v="2025-08-06T07:07:04" u="1"/>
        <d v="2025-08-06T07:10:18" u="1"/>
        <d v="2025-08-06T07:47:17" u="1"/>
        <d v="2025-08-06T07:59:23" u="1"/>
        <d v="2025-08-06T08:00:57" u="1"/>
        <d v="2025-08-06T08:11:23" u="1"/>
        <d v="2025-08-06T08:21:13" u="1"/>
        <d v="2025-08-06T08:47:59" u="1"/>
        <d v="2025-08-06T09:04:58" u="1"/>
        <d v="2025-08-06T09:05:06" u="1"/>
        <d v="2025-08-06T09:08:50" u="1"/>
        <d v="2025-08-06T09:39:21" u="1"/>
        <d v="2025-08-06T09:54:21" u="1"/>
        <d v="2025-08-06T10:01:48" u="1"/>
        <d v="2025-08-06T10:22:48" u="1"/>
        <d v="2025-08-06T10:30:17" u="1"/>
        <d v="2025-08-06T10:56:31" u="1"/>
        <d v="2025-08-06T11:03:28" u="1"/>
        <d v="2025-08-06T11:06:04" u="1"/>
        <d v="2025-08-06T11:18:55" u="1"/>
        <d v="2025-08-06T11:47:29" u="1"/>
        <d v="2025-08-06T11:49:32" u="1"/>
        <d v="2025-08-06T11:55:33" u="1"/>
        <d v="2025-08-06T11:57:03" u="1"/>
        <d v="2025-08-06T12:00:04" u="1"/>
        <d v="2025-08-06T12:24:00" u="1"/>
        <d v="2025-08-06T12:36:25" u="1"/>
        <d v="2025-08-06T12:57:27" u="1"/>
        <d v="2025-08-06T13:04:53" u="1"/>
        <d v="2025-08-06T13:10:58" u="1"/>
        <d v="2025-08-06T14:19:13" u="1"/>
        <d v="2025-08-06T14:28:40" u="1"/>
        <d v="2025-08-06T14:32:56" u="1"/>
        <d v="2025-08-06T14:42:21" u="1"/>
        <d v="2025-08-06T14:57:02" u="1"/>
        <d v="2025-08-06T15:02:13" u="1"/>
        <d v="2025-08-06T15:12:33" u="1"/>
        <d v="2025-08-06T15:24:46" u="1"/>
        <d v="2025-08-06T15:37:33" u="1"/>
        <d v="2025-08-06T15:54:19" u="1"/>
        <d v="2025-08-06T17:40:43" u="1"/>
        <d v="2025-08-06T17:46:13" u="1"/>
        <d v="2025-08-06T17:51:23" u="1"/>
        <d v="2025-08-06T19:17:31" u="1"/>
        <d v="2025-08-06T20:08:41" u="1"/>
        <d v="2025-08-06T20:14:11" u="1"/>
        <d v="2025-08-06T21:02:26" u="1"/>
        <d v="2025-08-06T22:36:03" u="1"/>
        <d v="2025-08-06T23:25:12" u="1"/>
        <d v="2025-08-07T07:10:25" u="1"/>
        <d v="2025-08-07T07:31:07" u="1"/>
        <d v="2025-08-07T08:43:46" u="1"/>
        <d v="2025-08-07T09:00:49" u="1"/>
        <d v="2025-08-07T09:03:08" u="1"/>
        <d v="2025-08-07T09:05:59" u="1"/>
        <d v="2025-08-07T09:35:41" u="1"/>
        <d v="2025-08-07T09:56:18" u="1"/>
        <d v="2025-08-07T10:04:02" u="1"/>
        <d v="2025-08-07T10:15:14" u="1"/>
        <d v="2025-08-07T10:18:15" u="1"/>
        <d v="2025-08-07T11:06:36" u="1"/>
        <d v="2025-08-07T11:44:17" u="1"/>
        <d v="2025-08-07T12:02:21" u="1"/>
        <d v="2025-08-07T12:09:52" u="1"/>
        <d v="2025-08-07T13:21:43" u="1"/>
        <d v="2025-08-07T13:30:04" u="1"/>
        <d v="2025-08-07T13:31:07" u="1"/>
        <d v="2025-08-07T16:35:14" u="1"/>
        <d v="2025-08-07T18:55:10" u="1"/>
        <d v="2025-08-07T19:00:46" u="1"/>
        <d v="2025-08-07T19:55:35" u="1"/>
        <d v="2025-08-07T20:00:12" u="1"/>
        <d v="2025-08-07T20:13:13" u="1"/>
        <d v="2025-08-07T20:47:58" u="1"/>
        <d v="2025-08-07T21:20:52" u="1"/>
        <d v="2025-08-07T21:39:25" u="1"/>
        <d v="2025-08-07T22:12:53" u="1"/>
        <d v="2025-08-08T00:53:50" u="1"/>
        <d v="2025-08-08T04:51:54" u="1"/>
        <d v="2025-08-08T04:53:19" u="1"/>
        <d v="2025-08-08T06:19:12" u="1"/>
        <d v="2025-08-08T08:51:05" u="1"/>
        <d v="2025-08-08T08:55:45" u="1"/>
        <d v="2025-08-08T09:04:26" u="1"/>
        <d v="2025-08-08T10:58:59" u="1"/>
        <d v="2025-08-08T11:04:08" u="1"/>
        <d v="2025-08-08T14:56:25" u="1"/>
        <d v="2025-08-08T18:45:30" u="1"/>
        <d v="2025-08-08T18:48:46" u="1"/>
        <d v="2025-08-08T18:49:37" u="1"/>
        <d v="2025-08-08T19:42:26" u="1"/>
        <d v="2025-08-08T20:49:46" u="1"/>
        <d v="2025-08-08T21:04:49" u="1"/>
        <d v="2025-08-08T21:15:55" u="1"/>
        <d v="2025-08-08T22:51:28" u="1"/>
        <d v="2025-08-08T22:51:29" u="1"/>
        <d v="2025-08-08T22:51:46" u="1"/>
        <d v="2025-08-08T23:58:40" u="1"/>
        <d v="2025-08-09T00:19:09" u="1"/>
        <d v="2025-08-09T01:37:14" u="1"/>
        <d v="2025-08-09T05:01:34" u="1"/>
        <d v="2025-08-09T06:27:53" u="1"/>
        <d v="2025-08-09T06:57:56" u="1"/>
        <d v="2025-08-09T06:59:46" u="1"/>
        <d v="2025-08-09T09:08:08" u="1"/>
        <d v="2025-08-09T10:32:52" u="1"/>
        <d v="2025-08-09T12:57:53" u="1"/>
        <d v="2025-08-09T14:33:40" u="1"/>
        <d v="2025-08-09T15:37:58" u="1"/>
        <d v="2025-08-09T18:47:29" u="1"/>
        <d v="2025-08-09T18:47:36" u="1"/>
        <d v="2025-08-09T19:30:23" u="1"/>
        <d v="2025-08-09T22:05:13" u="1"/>
        <d v="2025-08-09T22:09:04" u="1"/>
        <d v="2025-08-09T23:55:44" u="1"/>
        <d v="2025-08-09T23:57:06" u="1"/>
        <d v="2025-08-10T03:09:30" u="1"/>
        <d v="2025-08-10T03:33:50" u="1"/>
        <d v="2025-08-10T03:55:48" u="1"/>
        <d v="2025-08-10T07:19:23" u="1"/>
        <d v="2025-08-10T08:38:11" u="1"/>
        <d v="2025-08-10T11:38:27" u="1"/>
        <d v="2025-08-10T11:45:07" u="1"/>
        <d v="2025-08-10T12:35:38" u="1"/>
        <d v="2025-08-10T12:47:16" u="1"/>
        <d v="2025-08-10T12:56:35" u="1"/>
        <d v="2025-08-10T13:02:04" u="1"/>
        <d v="2025-08-10T13:17:46" u="1"/>
        <d v="2025-08-10T14:11:07" u="1"/>
        <d v="2025-08-10T17:53:19" u="1"/>
        <d v="2025-08-10T18:49:45" u="1"/>
        <d v="2025-08-10T21:29:44" u="1"/>
        <d v="2025-08-10T22:46:33" u="1"/>
        <d v="2025-08-11T00:01:46" u="1"/>
        <d v="2025-08-11T02:45:27" u="1"/>
        <d v="2025-08-11T05:44:29" u="1"/>
        <d v="2025-08-11T08:07:54" u="1"/>
        <d v="2025-08-11T08:34:46" u="1"/>
        <d v="2025-08-11T08:43:08" u="1"/>
        <d v="2025-08-11T09:05:39" u="1"/>
        <d v="2025-08-11T09:05:54" u="1"/>
        <d v="2025-08-11T09:21:12" u="1"/>
        <d v="2025-08-11T11:12:58" u="1"/>
        <d v="2025-08-11T11:15:51" u="1"/>
        <d v="2025-08-11T11:26:56" u="1"/>
        <d v="2025-08-11T12:29:07" u="1"/>
        <d v="2025-08-11T12:49:37" u="1"/>
        <d v="2025-08-11T12:51:36" u="1"/>
        <d v="2025-08-11T12:54:04" u="1"/>
        <d v="2025-08-11T13:29:00" u="1"/>
        <d v="2025-08-11T13:30:13" u="1"/>
        <d v="2025-08-11T13:49:06" u="1"/>
        <d v="2025-08-11T14:43:05" u="1"/>
        <d v="2025-08-11T15:30:32" u="1"/>
        <d v="2025-08-11T15:40:50" u="1"/>
        <d v="2025-08-11T15:53:54" u="1"/>
        <d v="2025-08-11T16:25:19" u="1"/>
        <d v="2025-08-11T17:20:32" u="1"/>
        <d v="2025-08-11T17:46:37" u="1"/>
        <d v="2025-08-11T17:59:27" u="1"/>
        <d v="2025-08-11T17:59:48" u="1"/>
        <d v="2025-08-11T18:00:56" u="1"/>
        <d v="2025-08-11T18:01:03" u="1"/>
        <d v="2025-08-11T18:13:41" u="1"/>
        <d v="2025-08-11T18:14:22" u="1"/>
        <d v="2025-08-11T18:40:19" u="1"/>
        <d v="2025-08-11T18:40:58" u="1"/>
        <d v="2025-08-11T18:43:50" u="1"/>
        <d v="2025-08-11T18:58:18" u="1"/>
        <d v="2025-08-11T19:02:01" u="1"/>
        <d v="2025-08-11T19:04:33" u="1"/>
        <d v="2025-08-11T19:05:10" u="1"/>
        <d v="2025-08-11T19:08:12" u="1"/>
        <d v="2025-08-11T19:35:14" u="1"/>
        <d v="2025-08-11T20:13:00" u="1"/>
        <d v="2025-08-11T21:10:23" u="1"/>
        <d v="2025-08-11T21:17:18" u="1"/>
        <d v="2025-08-11T21:43:00" u="1"/>
        <d v="2025-08-11T21:43:02" u="1"/>
        <d v="2025-08-11T21:43:04" u="1"/>
        <d v="2025-08-11T21:43:16" u="1"/>
        <d v="2025-08-11T21:43:17" u="1"/>
        <d v="2025-08-11T21:43:20" u="1"/>
        <d v="2025-08-11T21:43:27" u="1"/>
        <d v="2025-08-11T21:46:19" u="1"/>
        <d v="2025-08-11T21:46:25" u="1"/>
        <d v="2025-08-11T21:46:41" u="1"/>
        <d v="2025-08-11T21:46:58" u="1"/>
        <d v="2025-08-11T21:47:12" u="1"/>
        <d v="2025-08-11T21:48:21" u="1"/>
        <d v="2025-08-11T22:02:43" u="1"/>
        <d v="2025-08-11T22:25:43" u="1"/>
        <d v="2025-08-11T22:35:46" u="1"/>
        <d v="2025-08-11T23:32:06" u="1"/>
        <d v="2025-08-12T01:25:32" u="1"/>
        <d v="2025-08-12T04:35:51" u="1"/>
        <d v="2025-08-12T06:33:48" u="1"/>
        <d v="2025-08-12T07:11:14" u="1"/>
        <d v="2025-08-12T07:55:47" u="1"/>
        <d v="2025-08-12T08:13:10" u="1"/>
        <d v="2025-08-12T08:13:35" u="1"/>
        <d v="2025-08-12T08:32:07" u="1"/>
        <d v="2025-08-12T09:30:31" u="1"/>
        <d v="2025-08-12T09:39:46" u="1"/>
        <d v="2025-08-12T10:44:30" u="1"/>
        <d v="2025-08-12T11:36:32" u="1"/>
        <d v="2025-08-12T12:04:13" u="1"/>
        <d v="2025-08-12T12:05:02" u="1"/>
        <d v="2025-08-12T12:28:14" u="1"/>
        <d v="2025-08-12T12:30:50" u="1"/>
        <d v="2025-08-12T13:25:57" u="1"/>
        <d v="2025-08-12T13:34:42" u="1"/>
        <d v="2025-08-12T13:36:29" u="1"/>
        <d v="2025-08-12T13:38:00" u="1"/>
        <d v="2025-08-12T13:38:03" u="1"/>
        <d v="2025-08-12T13:43:54" u="1"/>
        <d v="2025-08-12T14:15:09" u="1"/>
        <d v="2025-08-12T14:29:31" u="1"/>
        <d v="2025-08-12T14:35:26" u="1"/>
        <d v="2025-08-12T14:35:55" u="1"/>
        <d v="2025-08-12T15:20:14" u="1"/>
        <d v="2025-08-12T15:42:09" u="1"/>
        <d v="2025-08-12T15:42:14" u="1"/>
        <d v="2025-08-12T15:43:08" u="1"/>
        <d v="2025-08-12T16:43:38" u="1"/>
        <d v="2025-08-12T17:20:07" u="1"/>
        <d v="2025-08-12T18:14:03" u="1"/>
        <d v="2025-08-12T18:18:44" u="1"/>
        <d v="2025-08-12T18:37:02" u="1"/>
        <d v="2025-08-12T19:48:43" u="1"/>
        <d v="2025-08-12T20:22:21" u="1"/>
        <d v="2025-08-12T20:22:36" u="1"/>
        <d v="2025-08-12T20:23:07" u="1"/>
        <d v="2025-08-12T20:25:10" u="1"/>
        <d v="2025-08-12T20:25:17" u="1"/>
        <d v="2025-08-12T20:25:33" u="1"/>
        <d v="2025-08-12T20:30:54" u="1"/>
        <d v="2025-08-12T22:57:03" u="1"/>
        <d v="2025-08-12T23:51:49" u="1"/>
        <d v="2025-08-12T23:53:34" u="1"/>
        <d v="2025-08-13T03:14:05" u="1"/>
        <d v="2025-08-13T03:15:17" u="1"/>
        <d v="2025-08-13T03:23:51" u="1"/>
        <d v="2025-08-13T03:57:21" u="1"/>
        <d v="2025-08-13T05:05:38" u="1"/>
        <d v="2025-08-13T05:53:46" u="1"/>
        <d v="2025-08-13T06:06:03" u="1"/>
        <d v="2025-08-13T06:12:07" u="1"/>
        <d v="2025-08-13T06:14:07" u="1"/>
        <d v="2025-08-13T07:04:45" u="1"/>
        <d v="2025-08-13T07:43:09" u="1"/>
        <d v="2025-08-13T07:50:33" u="1"/>
        <d v="2025-08-13T07:52:22" u="1"/>
        <d v="2025-08-13T08:09:17" u="1"/>
        <d v="2025-08-13T08:13:55" u="1"/>
        <d v="2025-08-13T08:35:35" u="1"/>
        <d v="2025-08-13T09:04:44" u="1"/>
        <d v="2025-08-13T09:05:56" u="1"/>
        <d v="2025-08-13T09:06:59" u="1"/>
        <d v="2025-08-13T09:18:09" u="1"/>
        <d v="2025-08-13T09:22:24" u="1"/>
        <d v="2025-08-13T09:24:35" u="1"/>
        <d v="2025-08-13T09:25:38" u="1"/>
        <d v="2025-08-13T09:54:21" u="1"/>
        <d v="2025-08-13T10:01:02" u="1"/>
        <d v="2025-08-13T10:05:50" u="1"/>
        <d v="2025-08-13T10:07:58" u="1"/>
        <d v="2025-08-13T10:47:30" u="1"/>
        <d v="2025-08-13T10:50:29" u="1"/>
        <d v="2025-08-13T11:09:34" u="1"/>
        <d v="2025-08-13T11:47:28" u="1"/>
        <d v="2025-08-13T11:48:51" u="1"/>
        <d v="2025-08-13T13:03:46" u="1"/>
        <d v="2025-08-13T13:27:16" u="1"/>
        <d v="2025-08-13T13:27:18" u="1"/>
        <d v="2025-08-13T13:32:31" u="1"/>
        <d v="2025-08-13T14:00:13" u="1"/>
        <d v="2025-08-13T14:10:08" u="1"/>
        <d v="2025-08-13T14:10:49" u="1"/>
        <d v="2025-08-13T14:21:37" u="1"/>
        <d v="2025-08-13T14:42:29" u="1"/>
        <d v="2025-08-13T14:51:30" u="1"/>
        <d v="2025-08-13T15:44:53" u="1"/>
        <d v="2025-08-13T16:50:53" u="1"/>
        <d v="2025-08-13T16:51:04" u="1"/>
        <d v="2025-08-13T17:05:36" u="1"/>
        <d v="2025-08-13T18:00:47" u="1"/>
        <d v="2025-08-13T19:43:37" u="1"/>
        <d v="2025-08-13T19:51:30" u="1"/>
        <d v="2025-08-13T20:26:21" u="1"/>
        <d v="2025-08-14T00:00:00" u="1"/>
        <d v="2025-08-14T00:00:32" u="1"/>
        <d v="2025-08-14T00:10:17" u="1"/>
        <d v="2025-08-14T00:11:19" u="1"/>
        <d v="2025-08-14T00:25:23" u="1"/>
        <d v="2025-08-14T01:31:00" u="1"/>
        <d v="2025-08-14T02:06:57" u="1"/>
        <d v="2025-08-14T03:01:16" u="1"/>
        <d v="2025-08-14T03:47:29" u="1"/>
        <d v="2025-08-14T07:45:53" u="1"/>
        <d v="2025-08-14T08:45:19" u="1"/>
        <d v="2025-08-14T09:05:54" u="1"/>
        <d v="2025-08-14T09:15:32" u="1"/>
        <d v="2025-08-14T09:18:31" u="1"/>
        <d v="2025-08-14T09:40:04" u="1"/>
        <d v="2025-08-14T09:41:17" u="1"/>
        <d v="2025-08-14T09:49:57" u="1"/>
        <d v="2025-08-14T10:03:52" u="1"/>
        <d v="2025-08-14T10:05:48" u="1"/>
        <d v="2025-08-14T10:10:46" u="1"/>
        <d v="2025-08-14T10:41:43" u="1"/>
        <d v="2025-08-14T10:53:10" u="1"/>
        <d v="2025-08-14T10:59:34" u="1"/>
        <d v="2025-08-14T11:00:23" u="1"/>
        <d v="2025-08-14T11:03:03" u="1"/>
        <d v="2025-08-14T11:10:56" u="1"/>
        <d v="2025-08-14T11:23:51" u="1"/>
        <d v="2025-08-14T11:52:46" u="1"/>
        <d v="2025-08-14T12:06:00" u="1"/>
        <d v="2025-08-14T12:22:20" u="1"/>
        <d v="2025-08-14T12:30:02" u="1"/>
        <d v="2025-08-14T12:41:15" u="1"/>
        <d v="2025-08-14T12:46:12" u="1"/>
        <d v="2025-08-14T13:19:08" u="1"/>
        <d v="2025-08-14T13:40:04" u="1"/>
        <d v="2025-08-14T14:18:02" u="1"/>
        <d v="2025-08-14T15:37:51" u="1"/>
        <d v="2025-08-14T15:47:26" u="1"/>
        <d v="2025-08-14T16:03:42" u="1"/>
        <d v="2025-08-14T16:49:50" u="1"/>
        <d v="2025-08-14T16:57:46" u="1"/>
        <d v="2025-08-14T17:14:45" u="1"/>
        <d v="2025-08-14T17:23:00" u="1"/>
        <d v="2025-08-14T17:33:44" u="1"/>
        <d v="2025-08-14T18:16:22" u="1"/>
        <d v="2025-08-14T18:19:38" u="1"/>
        <d v="2025-08-14T19:39:22" u="1"/>
        <d v="2025-08-14T20:18:33" u="1"/>
        <d v="2025-08-14T20:19:39" u="1"/>
        <d v="2025-08-14T20:56:41" u="1"/>
        <d v="2025-08-14T21:09:50" u="1"/>
        <d v="2025-08-14T21:10:00" u="1"/>
        <d v="2025-08-14T22:25:49" u="1"/>
        <d v="2025-08-14T23:06:52" u="1"/>
        <d v="2025-08-14T23:34:24" u="1"/>
        <d v="2025-08-15T01:32:37" u="1"/>
        <d v="2025-08-15T05:12:33" u="1"/>
        <d v="2025-08-15T05:16:21" u="1"/>
        <d v="2025-08-15T05:19:13" u="1"/>
        <d v="2025-08-15T05:56:08" u="1"/>
        <d v="2025-08-15T06:05:42" u="1"/>
        <d v="2025-08-15T06:41:52" u="1"/>
        <d v="2025-08-15T06:55:09" u="1"/>
        <d v="2025-08-15T07:11:27" u="1"/>
        <d v="2025-08-15T07:23:02" u="1"/>
        <d v="2025-08-15T07:26:48" u="1"/>
        <d v="2025-08-15T07:45:00" u="1"/>
        <d v="2025-08-15T08:37:45" u="1"/>
        <d v="2025-08-15T08:40:00" u="1"/>
        <d v="2025-08-15T09:27:56" u="1"/>
        <d v="2025-08-15T10:04:41" u="1"/>
        <d v="2025-08-15T10:13:04" u="1"/>
        <d v="2025-08-15T10:56:39" u="1"/>
        <d v="2025-08-15T10:57:52" u="1"/>
        <d v="2025-08-15T11:04:10" u="1"/>
        <d v="2025-08-15T11:25:27" u="1"/>
        <d v="2025-08-15T11:45:35" u="1"/>
        <d v="2025-08-15T11:55:11" u="1"/>
        <d v="2025-08-15T12:08:41" u="1"/>
        <d v="2025-08-15T12:36:33" u="1"/>
        <d v="2025-08-15T12:38:01" u="1"/>
        <d v="2025-08-15T13:17:08" u="1"/>
        <d v="2025-08-15T14:18:22" u="1"/>
        <d v="2025-08-15T14:18:31" u="1"/>
        <d v="2025-08-15T14:20:17" u="1"/>
        <d v="2025-08-15T14:45:40" u="1"/>
        <d v="2025-08-15T15:20:49" u="1"/>
        <d v="2025-08-15T15:25:41" u="1"/>
        <d v="2025-08-15T15:26:25" u="1"/>
        <d v="2025-08-15T15:56:20" u="1"/>
        <d v="2025-08-15T16:18:27" u="1"/>
        <d v="2025-08-15T16:53:16" u="1"/>
        <d v="2025-08-15T18:29:48" u="1"/>
        <d v="2025-08-15T18:37:04" u="1"/>
        <d v="2025-08-15T18:43:42" u="1"/>
        <d v="2025-08-15T18:56:48" u="1"/>
        <d v="2025-08-15T19:24:48" u="1"/>
        <d v="2025-08-15T19:37:10" u="1"/>
        <d v="2025-08-15T19:59:59" u="1"/>
        <d v="2025-08-15T20:23:41" u="1"/>
        <d v="2025-08-15T20:37:07" u="1"/>
        <d v="2025-08-15T20:39:11" u="1"/>
        <d v="2025-08-15T20:40:17" u="1"/>
        <d v="2025-08-15T20:53:12" u="1"/>
        <d v="2025-08-15T22:03:21" u="1"/>
        <d v="2025-08-15T22:07:51" u="1"/>
        <d v="2025-08-15T22:08:17" u="1"/>
        <d v="2025-08-15T23:07:07" u="1"/>
        <d v="2025-08-15T23:52:11" u="1"/>
        <d v="2025-08-16T00:03:46" u="1"/>
        <d v="2025-08-16T00:06:30" u="1"/>
        <d v="2025-08-16T00:07:36" u="1"/>
        <d v="2025-08-16T00:40:37" u="1"/>
        <d v="2025-08-16T00:56:50" u="1"/>
        <d v="2025-08-16T00:57:33" u="1"/>
        <d v="2025-08-16T01:54:42" u="1"/>
        <d v="2025-08-16T02:50:51" u="1"/>
        <d v="2025-08-16T06:03:42" u="1"/>
        <d v="2025-08-16T08:17:35" u="1"/>
        <d v="2025-08-16T09:19:23" u="1"/>
        <d v="2025-08-16T09:50:38" u="1"/>
        <d v="2025-08-16T10:02:42" u="1"/>
        <d v="2025-08-16T10:14:52" u="1"/>
        <d v="2025-08-16T10:44:15" u="1"/>
        <d v="2025-08-16T10:46:58" u="1"/>
        <d v="2025-08-16T10:52:32" u="1"/>
        <d v="2025-08-16T10:58:19" u="1"/>
        <d v="2025-08-16T10:59:00" u="1"/>
        <d v="2025-08-16T11:00:00" u="1"/>
        <d v="2025-08-16T11:00:32" u="1"/>
        <d v="2025-08-16T11:10:31" u="1"/>
        <d v="2025-08-16T11:10:38" u="1"/>
        <d v="2025-08-16T11:11:11" u="1"/>
        <d v="2025-08-16T11:13:19" u="1"/>
        <d v="2025-08-16T11:17:11" u="1"/>
        <d v="2025-08-16T11:47:44" u="1"/>
        <d v="2025-08-16T12:30:46" u="1"/>
        <d v="2025-08-16T12:58:12" u="1"/>
        <d v="2025-08-16T13:02:06" u="1"/>
        <d v="2025-08-16T13:02:46" u="1"/>
        <d v="2025-08-16T13:04:50" u="1"/>
        <d v="2025-08-16T13:07:04" u="1"/>
        <d v="2025-08-16T13:22:12" u="1"/>
        <d v="2025-08-16T15:31:32" u="1"/>
        <d v="2025-08-16T15:34:33" u="1"/>
        <d v="2025-08-16T15:37:27" u="1"/>
        <d v="2025-08-16T15:54:30" u="1"/>
        <d v="2025-08-16T15:56:03" u="1"/>
        <d v="2025-08-16T16:36:12" u="1"/>
        <d v="2025-08-16T20:04:13" u="1"/>
        <d v="2025-08-16T21:04:53" u="1"/>
        <d v="2025-08-16T21:19:59" u="1"/>
        <d v="2025-08-16T21:23:32" u="1"/>
        <d v="2025-08-16T22:07:26" u="1"/>
        <d v="2025-08-17T01:48:08" u="1"/>
        <d v="2025-08-17T03:06:06" u="1"/>
        <d v="2025-08-17T03:06:08" u="1"/>
        <d v="2025-08-17T03:08:56" u="1"/>
        <d v="2025-08-17T03:09:45" u="1"/>
        <d v="2025-08-17T03:10:54" u="1"/>
        <d v="2025-08-17T03:11:29" u="1"/>
        <d v="2025-08-17T03:32:11" u="1"/>
        <d v="2025-08-17T03:32:47" u="1"/>
        <d v="2025-08-17T03:37:21" u="1"/>
        <d v="2025-08-17T03:39:11" u="1"/>
        <d v="2025-08-17T03:39:25" u="1"/>
        <d v="2025-08-17T03:47:05" u="1"/>
        <d v="2025-08-17T03:47:37" u="1"/>
        <d v="2025-08-17T04:01:06" u="1"/>
        <d v="2025-08-17T07:38:39" u="1"/>
        <d v="2025-08-17T07:39:24" u="1"/>
        <d v="2025-08-17T08:53:02" u="1"/>
        <d v="2025-08-17T09:22:19" u="1"/>
        <d v="2025-08-17T10:41:27" u="1"/>
        <d v="2025-08-17T12:52:59" u="1"/>
        <d v="2025-08-17T12:56:34" u="1"/>
        <d v="2025-08-17T13:00:27" u="1"/>
        <d v="2025-08-17T14:13:58" u="1"/>
        <d v="2025-08-17T18:14:36" u="1"/>
        <d v="2025-08-17T19:11:47" u="1"/>
        <d v="2025-08-17T19:16:26" u="1"/>
        <d v="2025-08-17T20:09:37" u="1"/>
        <d v="2025-08-17T20:42:25" u="1"/>
        <d v="2025-08-17T20:51:21" u="1"/>
        <d v="2025-08-17T21:18:58" u="1"/>
        <d v="2025-08-17T21:46:44" u="1"/>
        <d v="2025-08-17T22:31:57" u="1"/>
        <d v="2025-08-18T05:45:22" u="1"/>
        <d v="2025-08-18T07:33:53" u="1"/>
        <d v="2025-08-18T07:40:50" u="1"/>
        <d v="2025-08-18T08:34:05" u="1"/>
        <d v="2025-08-18T09:18:34" u="1"/>
        <d v="2025-08-18T09:27:20" u="1"/>
        <d v="2025-08-18T09:29:50" u="1"/>
        <d v="2025-08-18T09:33:37" u="1"/>
        <d v="2025-08-18T09:36:03" u="1"/>
        <d v="2025-08-18T09:41:14" u="1"/>
        <d v="2025-08-18T10:10:11" u="1"/>
        <d v="2025-08-18T10:24:13" u="1"/>
        <d v="2025-08-18T10:31:30" u="1"/>
        <d v="2025-08-18T10:45:32" u="1"/>
        <d v="2025-08-18T11:08:17" u="1"/>
        <d v="2025-08-18T12:24:31" u="1"/>
        <d v="2025-08-18T13:13:22" u="1"/>
        <d v="2025-08-18T13:35:11" u="1"/>
        <d v="2025-08-18T13:52:01" u="1"/>
        <d v="2025-08-18T13:52:28" u="1"/>
        <d v="2025-08-18T14:00:10" u="1"/>
        <d v="2025-08-18T14:02:19" u="1"/>
        <d v="2025-08-18T14:02:22" u="1"/>
        <d v="2025-08-18T14:08:56" u="1"/>
        <d v="2025-08-18T14:14:19" u="1"/>
        <d v="2025-08-18T14:37:38" u="1"/>
        <d v="2025-08-18T15:22:22" u="1"/>
        <d v="2025-08-18T15:29:31" u="1"/>
        <d v="2025-08-18T15:31:03" u="1"/>
        <d v="2025-08-18T15:57:58" u="1"/>
        <d v="2025-08-18T16:41:59" u="1"/>
        <d v="2025-08-18T16:48:56" u="1"/>
        <d v="2025-08-18T17:19:17" u="1"/>
        <d v="2025-08-18T17:32:43" u="1"/>
        <d v="2025-08-18T18:16:28" u="1"/>
        <d v="2025-08-18T19:25:31" u="1"/>
        <d v="2025-08-18T19:25:32" u="1"/>
        <d v="2025-08-18T19:25:42" u="1"/>
        <d v="2025-08-18T19:25:46" u="1"/>
        <d v="2025-08-18T19:25:48" u="1"/>
        <d v="2025-08-18T19:26:05" u="1"/>
        <d v="2025-08-18T19:28:54" u="1"/>
        <d v="2025-08-18T21:08:55" u="1"/>
        <d v="2025-08-19T01:15:40" u="1"/>
        <d v="2025-08-19T04:02:13" u="1"/>
        <d v="2025-08-19T07:36:35" u="1"/>
        <d v="2025-08-19T07:54:50" u="1"/>
        <d v="2025-08-19T08:22:32" u="1"/>
        <d v="2025-08-19T08:27:09" u="1"/>
        <d v="2025-08-19T09:12:29" u="1"/>
        <d v="2025-08-19T09:46:30" u="1"/>
        <d v="2025-08-19T10:12:11" u="1"/>
        <d v="2025-08-19T10:16:35" u="1"/>
        <d v="2025-08-19T10:23:27" u="1"/>
        <d v="2025-08-19T10:56:31" u="1"/>
        <d v="2025-08-19T11:05:04" u="1"/>
        <d v="2025-08-19T11:08:37" u="1"/>
        <d v="2025-08-19T11:18:57" u="1"/>
        <d v="2025-08-19T11:22:38" u="1"/>
        <d v="2025-08-19T11:52:32" u="1"/>
        <d v="2025-08-19T12:00:12" u="1"/>
        <d v="2025-08-19T12:26:43" u="1"/>
        <d v="2025-08-19T12:28:15" u="1"/>
        <d v="2025-08-19T12:52:21" u="1"/>
        <d v="2025-08-19T13:05:14" u="1"/>
        <d v="2025-08-19T13:13:13" u="1"/>
        <d v="2025-08-19T13:19:18" u="1"/>
        <d v="2025-08-19T14:05:05" u="1"/>
        <d v="2025-08-19T14:36:55" u="1"/>
        <d v="2025-08-19T14:45:47" u="1"/>
        <d v="2025-08-19T14:46:16" u="1"/>
        <d v="2025-08-19T14:48:39" u="1"/>
        <d v="2025-08-19T15:00:27" u="1"/>
        <d v="2025-08-19T15:06:03" u="1"/>
        <d v="2025-08-19T15:37:16" u="1"/>
        <d v="2025-08-19T15:49:38" u="1"/>
        <d v="2025-08-19T15:51:23" u="1"/>
        <d v="2025-08-19T15:56:24" u="1"/>
        <d v="2025-08-19T16:21:06" u="1"/>
        <d v="2025-08-19T16:22:36" u="1"/>
        <d v="2025-08-19T16:40:48" u="1"/>
        <d v="2025-08-19T17:09:19" u="1"/>
        <d v="2025-08-19T17:15:51" u="1"/>
        <d v="2025-08-19T18:17:25" u="1"/>
        <d v="2025-08-19T18:25:40" u="1"/>
        <d v="2025-08-19T18:31:34" u="1"/>
        <d v="2025-08-19T19:32:27" u="1"/>
        <d v="2025-08-19T19:32:38" u="1"/>
        <d v="2025-08-19T19:41:44" u="1"/>
        <d v="2025-08-19T20:01:46" u="1"/>
        <d v="2025-08-19T20:12:38" u="1"/>
        <d v="2025-08-19T22:23:48" u="1"/>
        <d v="2025-08-20T06:04:28" u="1"/>
        <d v="2025-08-20T06:15:58" u="1"/>
        <d v="2025-08-20T06:26:39" u="1"/>
        <d v="2025-08-20T06:30:35" u="1"/>
        <d v="2025-08-20T06:45:37" u="1"/>
        <d v="2025-08-20T07:40:34" u="1"/>
        <d v="2025-08-20T07:44:35" u="1"/>
        <d v="2025-08-20T08:02:54" u="1"/>
        <d v="2025-08-20T08:29:17" u="1"/>
        <d v="2025-08-20T08:39:38" u="1"/>
        <d v="2025-08-20T08:40:01" u="1"/>
        <d v="2025-08-20T08:40:36" u="1"/>
        <d v="2025-08-20T10:15:17" u="1"/>
        <d v="2025-08-20T10:41:26" u="1"/>
        <d v="2025-08-20T11:01:09" u="1"/>
        <d v="2025-08-20T11:01:42" u="1"/>
        <d v="2025-08-20T11:04:08" u="1"/>
        <d v="2025-08-20T11:05:09" u="1"/>
        <d v="2025-08-20T11:09:45" u="1"/>
        <d v="2025-08-20T11:20:07" u="1"/>
        <d v="2025-08-20T11:29:11" u="1"/>
        <d v="2025-08-20T12:04:18" u="1"/>
        <d v="2025-08-20T12:05:52" u="1"/>
        <d v="2025-08-20T12:21:39" u="1"/>
        <d v="2025-08-20T12:22:37" u="1"/>
        <d v="2025-08-20T12:32:28" u="1"/>
        <d v="2025-08-20T13:03:51" u="1"/>
        <d v="2025-08-20T13:22:42" u="1"/>
        <d v="2025-08-20T13:25:39" u="1"/>
        <d v="2025-08-20T15:24:14" u="1"/>
        <d v="2025-08-20T15:39:31" u="1"/>
        <d v="2025-08-20T15:48:59" u="1"/>
        <d v="2025-08-20T15:57:16" u="1"/>
        <d v="2025-08-20T16:47:04" u="1"/>
        <d v="2025-08-20T18:21:58" u="1"/>
        <d v="2025-08-20T19:55:59" u="1"/>
        <d v="2025-08-20T22:13:41" u="1"/>
        <d v="2025-08-20T23:21:54" u="1"/>
        <d v="2025-08-20T23:57:40" u="1"/>
        <d v="2025-08-21T00:43:11" u="1"/>
        <d v="2025-08-21T02:15:03" u="1"/>
        <d v="2025-08-21T03:23:05" u="1"/>
        <d v="2025-08-21T04:11:41" u="1"/>
        <d v="2025-08-21T05:44:46" u="1"/>
        <d v="2025-08-21T06:52:59" u="1"/>
        <d v="2025-08-21T06:53:38" u="1"/>
        <d v="2025-08-21T06:53:59" u="1"/>
        <d v="2025-08-21T06:55:36" u="1"/>
        <d v="2025-08-21T08:24:02" u="1"/>
        <d v="2025-08-21T08:38:08" u="1"/>
        <d v="2025-08-21T08:59:10" u="1"/>
        <d v="2025-08-21T09:22:09" u="1"/>
        <d v="2025-08-21T09:52:13" u="1"/>
        <d v="2025-08-21T10:26:41" u="1"/>
        <d v="2025-08-21T10:58:05" u="1"/>
        <d v="2025-08-21T11:20:45" u="1"/>
        <d v="2025-08-21T11:27:44" u="1"/>
        <d v="2025-08-21T11:35:12" u="1"/>
        <d v="2025-08-21T11:57:40" u="1"/>
        <d v="2025-08-21T12:08:18" u="1"/>
        <d v="2025-08-21T12:34:53" u="1"/>
        <d v="2025-08-21T12:45:10" u="1"/>
        <d v="2025-08-21T12:55:24" u="1"/>
        <d v="2025-08-21T13:17:41" u="1"/>
        <d v="2025-08-21T13:25:01" u="1"/>
        <d v="2025-08-21T13:38:49" u="1"/>
        <d v="2025-08-21T13:45:46" u="1"/>
        <d v="2025-08-21T14:00:03" u="1"/>
        <d v="2025-08-21T14:00:21" u="1"/>
        <d v="2025-08-21T15:00:22" u="1"/>
        <d v="2025-08-21T15:11:38" u="1"/>
        <d v="2025-08-21T15:49:15" u="1"/>
        <d v="2025-08-21T17:57:56" u="1"/>
        <d v="2025-08-21T17:58:29" u="1"/>
        <d v="2025-08-21T20:47:00" u="1"/>
        <d v="2025-08-21T20:48:21" u="1"/>
        <d v="2025-08-21T20:51:04" u="1"/>
        <d v="2025-08-21T20:52:44" u="1"/>
        <d v="2025-08-21T20:55:15" u="1"/>
        <d v="2025-08-21T20:59:54" u="1"/>
        <d v="2025-08-21T21:05:48" u="1"/>
        <d v="2025-08-21T22:23:49" u="1"/>
        <d v="2025-08-21T22:40:06" u="1"/>
        <d v="2025-08-21T22:45:58" u="1"/>
        <d v="2025-08-21T22:46:23" u="1"/>
        <d v="2025-08-22T00:53:27" u="1"/>
        <d v="2025-08-22T01:13:42" u="1"/>
        <d v="2025-08-22T01:15:12" u="1"/>
        <d v="2025-08-22T01:53:38" u="1"/>
        <d v="2025-08-22T01:53:43" u="1"/>
        <d v="2025-08-22T04:44:14" u="1"/>
        <d v="2025-08-22T04:44:43" u="1"/>
        <d v="2025-08-22T04:59:23" u="1"/>
        <d v="2025-08-22T06:42:10" u="1"/>
        <d v="2025-08-22T07:18:02" u="1"/>
        <d v="2025-08-22T07:41:11" u="1"/>
        <d v="2025-08-22T07:59:38" u="1"/>
        <d v="2025-08-22T08:10:30" u="1"/>
        <d v="2025-08-22T10:07:26" u="1"/>
        <d v="2025-08-22T10:08:08" u="1"/>
        <d v="2025-08-22T10:38:55" u="1"/>
        <d v="2025-08-22T10:43:58" u="1"/>
        <d v="2025-08-22T10:59:07" u="1"/>
        <d v="2025-08-22T11:28:37" u="1"/>
        <d v="2025-08-22T11:56:27" u="1"/>
        <d v="2025-08-22T11:57:44" u="1"/>
        <d v="2025-08-22T12:22:22" u="1"/>
        <d v="2025-08-22T12:24:13" u="1"/>
        <d v="2025-08-22T12:25:56" u="1"/>
        <d v="2025-08-22T12:37:39" u="1"/>
        <d v="2025-08-22T13:00:37" u="1"/>
        <d v="2025-08-22T13:08:04" u="1"/>
        <d v="2025-08-22T13:17:02" u="1"/>
        <d v="2025-08-22T13:17:56" u="1"/>
        <d v="2025-08-22T14:12:19" u="1"/>
        <d v="2025-08-22T14:17:10" u="1"/>
        <d v="2025-08-22T15:23:45" u="1"/>
        <d v="2025-08-22T17:15:26" u="1"/>
        <d v="2025-08-22T17:35:26" u="1"/>
        <d v="2025-08-22T17:39:20" u="1"/>
        <d v="2025-08-22T18:13:00" u="1"/>
        <d v="2025-08-22T18:26:23" u="1"/>
        <d v="2025-08-22T18:46:01" u="1"/>
        <d v="2025-08-22T18:48:25" u="1"/>
        <d v="2025-08-22T19:12:38" u="1"/>
        <d v="2025-08-22T19:21:06" u="1"/>
        <d v="2025-08-22T19:23:48" u="1"/>
        <d v="2025-08-22T19:30:22" u="1"/>
        <d v="2025-08-22T20:03:42" u="1"/>
        <d v="2025-08-22T21:46:38" u="1"/>
        <d v="2025-08-22T23:08:05" u="1"/>
        <d v="2025-08-23T00:06:57" u="1"/>
        <d v="2025-08-23T00:16:09" u="1"/>
        <d v="2025-08-23T02:09:14" u="1"/>
        <d v="2025-08-23T02:16:47" u="1"/>
        <d v="2025-08-23T02:44:52" u="1"/>
        <d v="2025-08-23T05:49:43" u="1"/>
        <d v="2025-08-23T06:55:40" u="1"/>
        <d v="2025-08-23T10:37:04" u="1"/>
        <d v="2025-08-23T10:42:04" u="1"/>
        <d v="2025-08-23T12:24:08" u="1"/>
        <d v="2025-08-23T13:38:27" u="1"/>
        <d v="2025-08-23T15:56:44" u="1"/>
        <d v="2025-08-23T19:15:16" u="1"/>
        <d v="2025-08-23T19:45:01" u="1"/>
        <d v="2025-08-23T20:05:41" u="1"/>
        <d v="2025-08-23T20:05:44" u="1"/>
        <d v="2025-08-23T20:06:49" u="1"/>
        <d v="2025-08-23T20:09:12" u="1"/>
        <d v="2025-08-23T20:09:29" u="1"/>
        <d v="2025-08-23T20:09:33" u="1"/>
        <d v="2025-08-23T20:09:50" u="1"/>
        <d v="2025-08-23T20:10:09" u="1"/>
        <d v="2025-08-23T21:08:23" u="1"/>
        <d v="2025-08-23T21:12:52" u="1"/>
        <d v="2025-08-24T07:48:15" u="1"/>
        <d v="2025-08-24T08:24:12" u="1"/>
        <d v="2025-08-24T10:37:11" u="1"/>
        <d v="2025-08-24T11:00:37" u="1"/>
        <d v="2025-08-24T11:08:25" u="1"/>
        <d v="2025-08-24T11:18:56" u="1"/>
        <d v="2025-08-24T12:53:34" u="1"/>
        <d v="2025-08-24T14:10:09" u="1"/>
        <d v="2025-08-24T14:27:15" u="1"/>
        <d v="2025-08-24T16:46:51" u="1"/>
        <d v="2025-08-24T17:20:30" u="1"/>
        <d v="2025-08-24T17:46:40" u="1"/>
        <d v="2025-08-24T18:43:25" u="1"/>
        <d v="2025-08-24T21:27:17" u="1"/>
        <d v="2025-08-24T23:16:03" u="1"/>
        <d v="2025-08-25T00:28:26" u="1"/>
        <d v="2025-08-25T01:02:23" u="1"/>
        <d v="2025-08-25T01:09:18" u="1"/>
        <d v="2025-08-25T07:08:23" u="1"/>
        <d v="2025-08-25T07:53:05" u="1"/>
        <d v="2025-08-25T07:56:15" u="1"/>
        <d v="2025-08-25T08:22:30" u="1"/>
        <d v="2025-08-25T08:31:38" u="1"/>
        <d v="2025-08-25T08:37:55" u="1"/>
        <d v="2025-08-25T08:45:10" u="1"/>
        <d v="2025-08-25T09:50:05" u="1"/>
        <d v="2025-08-25T09:56:30" u="1"/>
        <d v="2025-08-25T10:30:33" u="1"/>
        <d v="2025-08-25T10:51:41" u="1"/>
        <d v="2025-08-25T11:30:05" u="1"/>
        <d v="2025-08-25T11:31:31" u="1"/>
        <d v="2025-08-25T12:37:40" u="1"/>
        <d v="2025-08-25T12:51:28" u="1"/>
        <d v="2025-08-25T12:54:49" u="1"/>
        <d v="2025-08-25T13:08:50" u="1"/>
        <d v="2025-08-25T14:03:39" u="1"/>
        <d v="2025-08-25T14:06:22" u="1"/>
        <d v="2025-08-25T16:04:04" u="1"/>
        <d v="2025-08-25T16:30:01" u="1"/>
        <d v="2025-08-25T17:16:56" u="1"/>
        <d v="2025-08-25T18:34:12" u="1"/>
        <d v="2025-08-25T19:48:56" u="1"/>
        <d v="2025-08-25T19:49:56" u="1"/>
        <d v="2025-08-26T04:42:12" u="1"/>
        <d v="2025-08-26T06:16:02" u="1"/>
        <d v="2025-08-26T06:39:43" u="1"/>
        <d v="2025-08-26T07:05:50" u="1"/>
        <d v="2025-08-26T07:12:51" u="1"/>
        <d v="2025-08-26T07:48:55" u="1"/>
        <d v="2025-08-26T08:07:35" u="1"/>
        <d v="2025-08-26T08:33:56" u="1"/>
        <d v="2025-08-26T09:12:27" u="1"/>
        <d v="2025-08-26T10:05:23" u="1"/>
        <d v="2025-08-26T10:06:02" u="1"/>
        <d v="2025-08-26T10:14:40" u="1"/>
        <d v="2025-08-26T10:44:23" u="1"/>
        <d v="2025-08-26T12:36:34" u="1"/>
        <d v="2025-08-26T12:48:26" u="1"/>
        <d v="2025-08-26T13:07:36" u="1"/>
        <d v="2025-08-26T13:24:04" u="1"/>
        <d v="2025-08-26T13:30:20" u="1"/>
        <d v="2025-08-26T14:07:13" u="1"/>
        <d v="2025-08-26T14:57:34" u="1"/>
        <d v="2025-08-26T15:23:13" u="1"/>
        <d v="2025-08-26T15:25:22" u="1"/>
        <d v="2025-08-26T15:42:24" u="1"/>
        <d v="2025-08-26T16:14:24" u="1"/>
        <d v="2025-08-26T16:29:22" u="1"/>
        <d v="2025-08-26T16:49:22" u="1"/>
        <d v="2025-08-26T16:50:08" u="1"/>
        <d v="2025-08-26T17:00:02" u="1"/>
        <d v="2025-08-26T17:24:11" u="1"/>
        <d v="2025-08-26T17:25:12" u="1"/>
        <d v="2025-08-26T17:38:16" u="1"/>
        <d v="2025-08-26T17:45:21" u="1"/>
        <d v="2025-08-26T18:32:11" u="1"/>
        <d v="2025-08-26T18:39:49" u="1"/>
        <d v="2025-08-26T19:58:38" u="1"/>
        <d v="2025-08-26T20:01:53" u="1"/>
        <d v="2025-08-26T20:41:59" u="1"/>
        <d v="2025-08-26T20:42:14" u="1"/>
        <d v="2025-08-26T21:07:18" u="1"/>
        <d v="2025-08-26T21:14:08" u="1"/>
        <d v="2025-08-26T21:34:26" u="1"/>
        <d v="2025-08-27T00:44:15" u="1"/>
        <d v="2025-08-27T01:52:28" u="1"/>
        <d v="2025-08-27T04:35:15" u="1"/>
        <d v="2025-08-27T06:31:39" u="1"/>
        <d v="2025-08-27T06:32:43" u="1"/>
        <d v="2025-08-27T07:07:27" u="1"/>
        <d v="2025-08-27T07:14:34" u="1"/>
        <d v="2025-08-27T07:18:34" u="1"/>
        <d v="2025-08-27T07:21:45" u="1"/>
        <d v="2025-08-27T07:30:28" u="1"/>
        <d v="2025-08-27T08:09:11" u="1"/>
        <d v="2025-08-27T08:49:34" u="1"/>
        <d v="2025-08-27T08:50:12" u="1"/>
        <d v="2025-08-27T09:08:22" u="1"/>
        <d v="2025-08-27T09:39:05" u="1"/>
        <d v="2025-08-27T09:50:16" u="1"/>
        <d v="2025-08-27T10:23:49" u="1"/>
        <d v="2025-08-27T10:43:07" u="1"/>
        <d v="2025-08-27T10:51:19" u="1"/>
        <d v="2025-08-27T11:06:06" u="1"/>
        <d v="2025-08-27T11:54:52" u="1"/>
        <d v="2025-08-27T11:57:26" u="1"/>
        <d v="2025-08-27T12:28:22" u="1"/>
        <d v="2025-08-27T12:59:04" u="1"/>
        <d v="2025-08-27T13:15:14" u="1"/>
        <d v="2025-08-27T13:16:40" u="1"/>
        <d v="2025-08-27T13:51:55" u="1"/>
        <d v="2025-08-27T13:55:23" u="1"/>
        <d v="2025-08-27T14:00:31" u="1"/>
        <d v="2025-08-27T14:03:12" u="1"/>
        <d v="2025-08-27T15:06:58" u="1"/>
        <d v="2025-08-27T15:07:09" u="1"/>
        <d v="2025-08-27T16:49:25" u="1"/>
        <d v="2025-08-27T17:18:45" u="1"/>
        <d v="2025-08-27T17:32:41" u="1"/>
        <d v="2025-08-27T17:33:02" u="1"/>
        <d v="2025-08-27T17:33:17" u="1"/>
        <d v="2025-08-27T17:33:22" u="1"/>
        <d v="2025-08-27T17:34:55" u="1"/>
        <d v="2025-08-27T18:00:18" u="1"/>
        <d v="2025-08-27T18:02:11" u="1"/>
        <d v="2025-08-27T18:02:16" u="1"/>
        <d v="2025-08-27T18:12:16" u="1"/>
        <d v="2025-08-27T18:32:50" u="1"/>
        <d v="2025-08-27T19:09:10" u="1"/>
        <d v="2025-08-27T19:58:38" u="1"/>
        <d v="2025-08-27T20:09:25" u="1"/>
        <d v="2025-08-27T20:31:12" u="1"/>
        <d v="2025-08-27T22:29:37" u="1"/>
        <d v="2025-08-27T22:31:56" u="1"/>
        <d v="2025-08-27T23:58:35" u="1"/>
        <d v="2025-08-28T03:10:12" u="1"/>
        <d v="2025-08-28T05:56:59" u="1"/>
        <d v="2025-08-28T06:33:10" u="1"/>
        <d v="2025-08-28T07:10:48" u="1"/>
        <d v="2025-08-28T07:43:10" u="1"/>
        <d v="2025-08-28T07:57:35" u="1"/>
        <d v="2025-08-28T08:11:17" u="1"/>
        <d v="2025-08-28T08:29:19" u="1"/>
        <d v="2025-08-28T08:36:06" u="1"/>
        <d v="2025-08-28T09:12:23" u="1"/>
        <d v="2025-08-28T09:28:28" u="1"/>
        <d v="2025-08-28T09:28:46" u="1"/>
        <d v="2025-08-28T09:35:39" u="1"/>
        <d v="2025-08-28T10:09:57" u="1"/>
        <d v="2025-08-28T10:13:55" u="1"/>
        <d v="2025-08-28T10:14:04" u="1"/>
        <d v="2025-08-28T10:42:26" u="1"/>
        <d v="2025-08-28T10:49:48" u="1"/>
        <d v="2025-08-28T10:52:24" u="1"/>
        <d v="2025-08-28T10:55:37" u="1"/>
        <d v="2025-08-28T11:05:28" u="1"/>
        <d v="2025-08-28T11:16:41" u="1"/>
        <d v="2025-08-28T12:00:11" u="1"/>
        <d v="2025-08-28T12:10:31" u="1"/>
        <d v="2025-08-28T12:11:39" u="1"/>
        <d v="2025-08-28T13:36:24" u="1"/>
        <d v="2025-08-28T13:49:36" u="1"/>
        <d v="2025-08-28T15:00:06" u="1"/>
        <d v="2025-08-28T15:13:09" u="1"/>
        <d v="2025-08-28T15:13:47" u="1"/>
        <d v="2025-08-28T15:18:56" u="1"/>
        <d v="2025-08-28T15:22:00" u="1"/>
        <d v="2025-08-28T15:22:04" u="1"/>
        <d v="2025-08-28T15:39:44" u="1"/>
        <d v="2025-08-28T16:00:29" u="1"/>
        <d v="2025-08-28T16:03:27" u="1"/>
        <d v="2025-08-28T16:12:38" u="1"/>
        <d v="2025-08-28T16:15:40" u="1"/>
        <d v="2025-08-28T17:47:24" u="1"/>
        <d v="2025-08-28T18:47:29" u="1"/>
        <d v="2025-08-28T18:52:13" u="1"/>
        <d v="2025-08-28T18:52:59" u="1"/>
        <d v="2025-08-28T19:12:13" u="1"/>
        <d v="2025-08-28T19:23:41" u="1"/>
        <d v="2025-08-28T19:31:38" u="1"/>
        <d v="2025-08-28T20:09:06" u="1"/>
        <d v="2025-08-28T20:10:41" u="1"/>
        <d v="2025-08-28T20:38:03" u="1"/>
        <d v="2025-08-28T21:18:55" u="1"/>
        <d v="2025-08-28T21:32:08" u="1"/>
        <d v="2025-08-28T21:47:59" u="1"/>
        <d v="2025-08-28T22:00:18" u="1"/>
        <d v="2025-08-28T22:25:10" u="1"/>
        <d v="2025-08-28T23:19:25" u="1"/>
        <d v="2025-08-29T01:24:48" u="1"/>
        <d v="2025-08-29T02:47:26" u="1"/>
        <d v="2025-08-29T02:48:11" u="1"/>
        <d v="2025-08-29T06:39:27" u="1"/>
        <d v="2025-08-29T08:24:36" u="1"/>
        <d v="2025-08-29T09:50:39" u="1"/>
        <d v="2025-08-29T10:12:16" u="1"/>
        <d v="2025-08-29T10:37:13" u="1"/>
        <d v="2025-08-29T10:52:31" u="1"/>
        <d v="2025-08-29T10:56:38" u="1"/>
        <d v="2025-08-29T11:00:20" u="1"/>
        <d v="2025-08-29T11:14:38" u="1"/>
        <d v="2025-08-29T11:16:39" u="1"/>
        <d v="2025-08-29T11:52:09" u="1"/>
        <d v="2025-08-29T12:02:18" u="1"/>
        <d v="2025-08-29T13:40:10" u="1"/>
        <d v="2025-08-29T14:37:33" u="1"/>
        <d v="2025-08-29T15:11:05" u="1"/>
        <d v="2025-08-29T15:22:15" u="1"/>
        <d v="2025-08-29T16:00:40" u="1"/>
        <d v="2025-08-29T16:23:09" u="1"/>
        <d v="2025-08-29T17:01:04" u="1"/>
        <d v="2025-08-29T17:13:26" u="1"/>
        <d v="2025-08-29T17:52:11" u="1"/>
        <d v="2025-08-29T18:16:29" u="1"/>
        <d v="2025-08-29T18:46:39" u="1"/>
        <d v="2025-08-29T18:47:46" u="1"/>
        <d v="2025-08-29T19:09:16" u="1"/>
        <d v="2025-08-29T19:57:13" u="1"/>
        <d v="2025-08-29T23:06:43" u="1"/>
        <d v="2025-08-30T05:18:40" u="1"/>
        <d v="2025-08-30T07:26:37" u="1"/>
        <d v="2025-08-30T08:39:28" u="1"/>
        <d v="2025-08-30T10:49:06" u="1"/>
        <d v="2025-08-30T11:04:07" u="1"/>
        <d v="2025-08-30T11:41:18" u="1"/>
        <d v="2025-08-30T14:21:43" u="1"/>
        <d v="2025-08-30T14:25:49" u="1"/>
        <d v="2025-08-30T14:37:54" u="1"/>
        <d v="2025-08-30T15:31:19" u="1"/>
        <d v="2025-08-30T15:36:31" u="1"/>
        <d v="2025-08-30T15:39:35" u="1"/>
        <d v="2025-08-30T15:42:48" u="1"/>
        <d v="2025-08-30T16:21:03" u="1"/>
        <d v="2025-08-30T16:29:15" u="1"/>
        <d v="2025-08-30T16:29:20" u="1"/>
        <d v="2025-08-30T17:40:44" u="1"/>
        <d v="2025-08-30T17:41:41" u="1"/>
        <d v="2025-08-30T18:00:25" u="1"/>
        <d v="2025-08-30T18:01:39" u="1"/>
        <d v="2025-08-30T18:57:55" u="1"/>
        <d v="2025-08-30T19:50:27" u="1"/>
        <d v="2025-08-30T20:12:51" u="1"/>
        <d v="2025-08-30T22:02:15" u="1"/>
        <d v="2025-08-31T00:06:53" u="1"/>
        <d v="2025-08-31T00:42:09" u="1"/>
        <d v="2025-08-31T01:13:17" u="1"/>
        <d v="2025-08-31T01:57:33" u="1"/>
        <d v="2025-08-31T02:05:06" u="1"/>
        <d v="2025-08-31T02:10:17" u="1"/>
        <d v="2025-08-31T08:50:17" u="1"/>
        <d v="2025-08-31T09:40:43" u="1"/>
        <d v="2025-08-31T09:45:25" u="1"/>
        <d v="2025-08-31T11:13:46" u="1"/>
        <d v="2025-08-31T11:20:21" u="1"/>
        <d v="2025-08-31T12:06:27" u="1"/>
        <d v="2025-08-31T13:42:00" u="1"/>
        <d v="2025-08-31T22:05:01" u="1"/>
        <d v="2025-09-01T00:08:05" u="1"/>
        <d v="2025-09-01T00:13:14" u="1"/>
        <d v="2025-09-01T05:42:28" u="1"/>
        <d v="2025-09-01T06:17:38" u="1"/>
        <d v="2025-09-01T06:25:45" u="1"/>
        <d v="2025-09-01T06:30:57" u="1"/>
        <d v="2025-09-01T07:07:43" u="1"/>
        <d v="2025-09-01T07:10:27" u="1"/>
        <d v="2025-09-01T09:17:29" u="1"/>
        <d v="2025-09-01T11:42:13" u="1"/>
        <d v="2025-09-01T12:19:40" u="1"/>
        <d v="2025-09-01T12:41:27" u="1"/>
        <d v="2025-09-01T12:56:06" u="1"/>
        <d v="2025-09-01T13:01:11" u="1"/>
        <d v="2025-09-01T13:02:07" u="1"/>
        <d v="2025-09-01T13:04:09" u="1"/>
        <d v="2025-09-01T15:04:27" u="1"/>
        <d v="2025-09-01T15:59:14" u="1"/>
        <d v="2025-09-01T15:59:42" u="1"/>
        <d v="2025-09-01T16:26:05" u="1"/>
        <d v="2025-09-01T16:28:36" u="1"/>
        <d v="2025-09-01T17:17:50" u="1"/>
        <d v="2025-09-01T17:26:08" u="1"/>
        <d v="2025-09-01T17:29:34" u="1"/>
        <d v="2025-09-01T17:54:21" u="1"/>
        <d v="2025-09-01T18:03:38" u="1"/>
        <d v="2025-09-01T18:05:47" u="1"/>
        <d v="2025-09-01T18:09:03" u="1"/>
        <d v="2025-09-01T18:28:10" u="1"/>
        <d v="2025-09-01T19:16:48" u="1"/>
        <d v="2025-09-01T20:16:03" u="1"/>
        <d v="2025-09-01T21:42:10" u="1"/>
        <d v="2025-09-01T22:09:46" u="1"/>
        <d v="2025-09-01T22:51:57" u="1"/>
        <d v="2025-09-01T23:28:33" u="1"/>
        <d v="2025-09-02T00:38:13" u="1"/>
        <d v="2025-09-02T00:51:28" u="1"/>
        <d v="2025-09-02T00:51:32" u="1"/>
        <d v="2025-09-02T00:53:14" u="1"/>
        <d v="2025-09-02T01:02:35" u="1"/>
        <d v="2025-09-02T01:02:45" u="1"/>
        <d v="2025-09-02T01:19:47" u="1"/>
        <d v="2025-09-02T02:00:03" u="1"/>
        <d v="2025-09-02T02:18:30" u="1"/>
        <d v="2025-09-02T02:33:17" u="1"/>
        <d v="2025-09-02T03:10:50" u="1"/>
        <d v="2025-09-02T04:54:12" u="1"/>
        <d v="2025-09-02T05:57:17" u="1"/>
        <d v="2025-09-02T06:59:35" u="1"/>
        <d v="2025-09-02T07:06:22" u="1"/>
        <d v="2025-09-02T07:41:06" u="1"/>
        <d v="2025-09-02T08:03:08" u="1"/>
        <d v="2025-09-02T08:09:15" u="1"/>
        <d v="2025-09-02T08:28:33" u="1"/>
        <d v="2025-09-02T08:48:46" u="1"/>
        <d v="2025-09-02T08:54:33" u="1"/>
        <d v="2025-09-02T09:13:42" u="1"/>
        <d v="2025-09-02T09:15:22" u="1"/>
        <d v="2025-09-02T09:27:15" u="1"/>
        <d v="2025-09-02T09:43:53" u="1"/>
        <d v="2025-09-02T09:46:54" u="1"/>
        <d v="2025-09-02T09:59:08" u="1"/>
        <d v="2025-09-02T10:06:10" u="1"/>
        <d v="2025-09-02T10:20:31" u="1"/>
        <d v="2025-09-02T10:21:35" u="1"/>
        <d v="2025-09-02T11:03:18" u="1"/>
        <d v="2025-09-02T11:03:42" u="1"/>
        <d v="2025-09-02T11:05:20" u="1"/>
        <d v="2025-09-02T11:24:11" u="1"/>
        <d v="2025-09-02T11:47:08" u="1"/>
        <d v="2025-09-02T11:54:57" u="1"/>
        <d v="2025-09-02T12:01:01" u="1"/>
        <d v="2025-09-02T12:33:55" u="1"/>
        <d v="2025-09-02T12:40:35" u="1"/>
        <d v="2025-09-02T12:46:31" u="1"/>
        <d v="2025-09-02T12:50:25" u="1"/>
        <d v="2025-09-02T14:37:13" u="1"/>
        <d v="2025-09-02T15:00:04" u="1"/>
        <d v="2025-09-02T15:45:49" u="1"/>
        <d v="2025-09-02T16:07:10" u="1"/>
        <d v="2025-09-02T16:21:14" u="1"/>
        <d v="2025-09-02T17:25:24" u="1"/>
        <d v="2025-09-02T18:39:47" u="1"/>
        <d v="2025-09-02T18:40:03" u="1"/>
        <d v="2025-09-02T19:12:50" u="1"/>
        <d v="2025-09-02T21:21:43" u="1"/>
        <d v="2025-09-02T21:31:36" u="1"/>
        <d v="2025-09-02T21:47:06" u="1"/>
        <d v="2025-09-02T22:05:57" u="1"/>
        <d v="2025-09-02T22:06:06" u="1"/>
        <d v="2025-09-02T22:26:56" u="1"/>
        <d v="2025-09-03T00:40:17" u="1"/>
        <d v="2025-09-03T04:14:28" u="1"/>
        <d v="2025-09-03T05:59:27" u="1"/>
        <d v="2025-09-03T06:02:48" u="1"/>
        <d v="2025-09-03T06:09:44" u="1"/>
        <d v="2025-09-03T07:50:06" u="1"/>
        <d v="2025-09-03T08:16:20" u="1"/>
        <d v="2025-09-03T08:46:10" u="1"/>
        <d v="2025-09-03T08:49:54" u="1"/>
        <d v="2025-09-03T10:26:57" u="1"/>
        <d v="2025-09-03T10:31:57" u="1"/>
        <d v="2025-09-03T10:38:24" u="1"/>
        <d v="2025-09-03T11:25:22" u="1"/>
        <d v="2025-09-03T11:32:12" u="1"/>
        <d v="2025-09-03T12:04:05" u="1"/>
        <d v="2025-09-03T12:17:27" u="1"/>
        <d v="2025-09-03T12:44:07" u="1"/>
        <d v="2025-09-03T13:20:47" u="1"/>
        <d v="2025-09-03T14:07:00" u="1"/>
        <d v="2025-09-03T15:59:04" u="1"/>
        <d v="2025-09-03T16:59:01" u="1"/>
        <d v="2025-09-03T17:30:14" u="1"/>
        <d v="2025-09-03T17:37:31" u="1"/>
        <d v="2025-09-03T21:23:05" u="1"/>
        <d v="2025-09-03T21:33:53" u="1"/>
        <d v="2025-09-03T21:35:44" u="1"/>
        <d v="2025-09-04T07:16:12" u="1"/>
        <d v="2025-09-04T07:35:30" u="1"/>
        <d v="2025-09-04T08:43:50" u="1"/>
        <d v="2025-09-04T08:52:33" u="1"/>
        <d v="2025-09-04T10:21:10" u="1"/>
        <d v="2025-09-04T10:37:20" u="1"/>
        <d v="2025-09-04T10:47:42" u="1"/>
        <d v="2025-09-04T11:04:30" u="1"/>
        <d v="2025-09-04T11:09:33" u="1"/>
        <d v="2025-09-04T11:15:06" u="1"/>
        <d v="2025-09-04T11:19:28" u="1"/>
        <d v="2025-09-04T12:26:49" u="1"/>
        <d v="2025-09-04T12:29:02" u="1"/>
        <d v="2025-09-04T12:37:20" u="1"/>
        <d v="2025-09-04T12:43:02" u="1"/>
        <d v="2025-09-04T12:48:11" u="1"/>
        <d v="2025-09-04T14:09:44" u="1"/>
        <d v="2025-09-04T14:12:45" u="1"/>
        <d v="2025-09-04T14:14:35" u="1"/>
        <d v="2025-09-04T14:15:27" u="1"/>
        <d v="2025-09-04T14:20:54" u="1"/>
        <d v="2025-09-04T14:23:13" u="1"/>
        <d v="2025-09-04T14:37:35" u="1"/>
        <d v="2025-09-04T14:48:32" u="1"/>
        <d v="2025-09-04T14:53:17" u="1"/>
        <d v="2025-09-04T14:58:50" u="1"/>
        <d v="2025-09-04T15:12:26" u="1"/>
        <d v="2025-09-04T15:14:11" u="1"/>
        <d v="2025-09-04T16:22:28" u="1"/>
        <d v="2025-09-04T21:16:07" u="1"/>
        <d v="2025-09-04T21:55:40" u="1"/>
        <d v="2025-09-04T22:31:01" u="1"/>
        <d v="2025-09-04T22:52:39" u="1"/>
        <d v="2025-09-05T10:14:40" u="1"/>
        <d v="2025-09-05T15:39:40" u="1"/>
        <d v="2025-09-05T16:13:06" u="1"/>
        <d v="2025-09-05T16:43:08" u="1"/>
        <d v="2025-09-05T17:41:27" u="1"/>
        <d v="2025-09-05T17:50:49" u="1"/>
        <d v="2025-09-05T18:44:55" u="1"/>
        <d v="2025-09-05T19:41:28" u="1"/>
        <d v="2025-09-05T23:25:29" u="1"/>
        <d v="2025-09-06T08:59:56" u="1"/>
        <d v="2025-09-06T10:30:47" u="1"/>
        <d v="2025-09-06T10:40:47" u="1"/>
        <d v="2025-09-06T11:44:56" u="1"/>
        <d v="2025-09-06T11:53:05" u="1"/>
        <d v="2025-09-06T17:52:24" u="1"/>
        <d v="2025-09-06T18:01:55" u="1"/>
        <d v="2025-09-06T19:42:21" u="1"/>
        <d v="2025-09-06T22:45:25" u="1"/>
        <d v="2025-09-06T23:48:01" u="1"/>
        <d v="2025-09-06T23:56:32" u="1"/>
        <d v="2025-09-07T03:59:56" u="1"/>
        <d v="2025-09-07T04:01:01" u="1"/>
        <d v="2025-09-07T04:25:46" u="1"/>
        <d v="2025-09-07T05:03:56" u="1"/>
        <d v="2025-09-07T07:04:12" u="1"/>
        <d v="2025-09-07T08:39:10" u="1"/>
        <d v="2025-09-07T10:41:43" u="1"/>
        <d v="2025-09-07T10:56:37" u="1"/>
        <d v="2025-09-07T11:02:02" u="1"/>
        <d v="2025-09-07T12:49:56" u="1"/>
        <d v="2025-09-08T07:20:25" u="1"/>
        <d v="2025-09-08T07:26:52" u="1"/>
        <d v="2025-09-08T11:55:49" u="1"/>
        <d v="2025-09-08T11:58:34" u="1"/>
        <d v="2025-09-08T12:00:51" u="1"/>
        <d v="2025-09-08T12:41:45" u="1"/>
        <d v="2025-09-08T12:42:26" u="1"/>
        <d v="2025-09-08T13:28:07" u="1"/>
        <d v="2025-09-08T14:53:31" u="1"/>
        <d v="2025-09-08T16:57:34" u="1"/>
        <d v="2025-09-08T18:40:12" u="1"/>
        <d v="2025-09-08T18:52:59" u="1"/>
        <d v="2025-09-08T19:24:17" u="1"/>
        <d v="2025-09-08T21:54:01" u="1"/>
        <d v="2025-09-09T00:07:41" u="1"/>
        <d v="2025-09-09T00:10:33" u="1"/>
        <d v="2025-09-09T00:22:27" u="1"/>
        <d v="2025-09-09T01:25:05" u="1"/>
        <d v="2025-09-09T03:39:59" u="1"/>
        <d v="2025-09-09T05:46:32" u="1"/>
        <d v="2025-09-09T07:20:47" u="1"/>
        <d v="2025-09-09T07:23:15" u="1"/>
        <d v="2025-09-09T08:36:13" u="1"/>
        <d v="2025-09-09T09:39:29" u="1"/>
        <d v="2025-09-09T10:43:31" u="1"/>
        <d v="2025-09-09T11:49:09" u="1"/>
        <d v="2025-09-09T12:10:01" u="1"/>
        <d v="2025-09-09T12:52:06" u="1"/>
        <d v="2025-09-09T13:39:38" u="1"/>
        <d v="2025-09-09T13:39:40" u="1"/>
        <d v="2025-09-09T13:42:21" u="1"/>
        <d v="2025-09-09T13:42:27" u="1"/>
        <d v="2025-09-09T14:02:19" u="1"/>
        <d v="2025-09-09T14:27:18" u="1"/>
        <d v="2025-09-09T14:58:18" u="1"/>
        <d v="2025-09-09T15:03:03" u="1"/>
        <d v="2025-09-09T15:55:45" u="1"/>
        <d v="2025-09-09T16:01:24" u="1"/>
        <d v="2025-09-09T16:02:06" u="1"/>
        <d v="2025-09-09T16:22:18" u="1"/>
        <d v="2025-09-09T16:22:20" u="1"/>
        <d v="2025-09-09T16:46:29" u="1"/>
        <d v="2025-09-09T17:49:19" u="1"/>
        <d v="2025-09-09T18:10:39" u="1"/>
        <d v="2025-09-09T18:43:27" u="1"/>
        <d v="2025-09-09T21:13:24" u="1"/>
        <d v="2025-09-09T21:43:54" u="1"/>
        <d v="2025-09-09T23:06:52" u="1"/>
        <d v="2025-09-10T03:13:06" u="1"/>
        <d v="2025-09-10T03:56:39" u="1"/>
        <d v="2025-09-10T04:16:01" u="1"/>
        <d v="2025-09-10T05:08:45" u="1"/>
        <d v="2025-09-10T05:26:12" u="1"/>
        <d v="2025-09-10T06:53:28" u="1"/>
        <d v="2025-09-10T06:57:02" u="1"/>
        <d v="2025-09-10T07:37:08" u="1"/>
        <d v="2025-09-10T07:55:27" u="1"/>
        <d v="2025-09-10T08:23:32" u="1"/>
        <d v="2025-09-10T08:27:47" u="1"/>
        <d v="2025-09-10T08:51:38" u="1"/>
        <d v="2025-09-10T08:53:42" u="1"/>
        <d v="2025-09-10T09:00:32" u="1"/>
        <d v="2025-09-10T09:02:51" u="1"/>
        <d v="2025-09-10T09:06:35" u="1"/>
        <d v="2025-09-10T09:10:10" u="1"/>
        <d v="2025-09-10T09:15:52" u="1"/>
        <d v="2025-09-10T10:02:12" u="1"/>
        <d v="2025-09-10T10:04:01" u="1"/>
        <d v="2025-09-10T10:05:23" u="1"/>
        <d v="2025-09-10T10:09:08" u="1"/>
        <d v="2025-09-10T10:31:38" u="1"/>
        <d v="2025-09-10T11:02:20" u="1"/>
        <d v="2025-09-10T12:38:59" u="1"/>
        <d v="2025-09-10T12:58:56" u="1"/>
        <d v="2025-09-10T13:00:19" u="1"/>
        <d v="2025-09-10T13:35:17" u="1"/>
        <d v="2025-09-10T13:41:48" u="1"/>
        <d v="2025-09-10T13:54:50" u="1"/>
        <d v="2025-09-10T14:01:16" u="1"/>
        <d v="2025-09-10T15:10:45" u="1"/>
        <d v="2025-09-10T15:46:46" u="1"/>
        <d v="2025-09-10T15:47:17" u="1"/>
        <d v="2025-09-10T15:54:09" u="1"/>
        <d v="2025-09-10T17:08:26" u="1"/>
        <d v="2025-09-10T18:20:55" u="1"/>
        <d v="2025-09-10T18:33:12" u="1"/>
        <d v="2025-09-10T19:13:14" u="1"/>
        <d v="2025-09-10T22:59:38" u="1"/>
        <d v="2025-09-11T05:15:11" u="1"/>
        <d v="2025-09-11T06:22:49" u="1"/>
        <d v="2025-09-11T07:00:10" u="1"/>
        <d v="2025-09-11T07:57:32" u="1"/>
        <d v="2025-09-11T08:18:35" u="1"/>
        <d v="2025-09-11T10:14:03" u="1"/>
        <d v="2025-09-11T11:02:08" u="1"/>
        <d v="2025-09-11T11:02:14" u="1"/>
        <d v="2025-09-11T11:02:36" u="1"/>
        <d v="2025-09-11T11:59:27" u="1"/>
        <d v="2025-09-11T12:00:49" u="1"/>
        <d v="2025-09-11T12:01:24" u="1"/>
        <d v="2025-09-11T12:01:33" u="1"/>
        <d v="2025-09-11T12:07:00" u="1"/>
        <d v="2025-09-11T12:50:58" u="1"/>
        <d v="2025-09-11T13:03:12" u="1"/>
        <d v="2025-09-11T14:01:50" u="1"/>
        <d v="2025-09-11T14:37:59" u="1"/>
        <d v="2025-09-11T15:11:27" u="1"/>
        <d v="2025-09-11T16:19:14" u="1"/>
        <d v="2025-09-11T17:08:23" u="1"/>
        <d v="2025-09-11T17:53:50" u="1"/>
        <d v="2025-09-11T18:18:07" u="1"/>
        <d v="2025-09-11T18:30:03" u="1"/>
        <d v="2025-09-11T18:30:26" u="1"/>
        <d v="2025-09-11T19:33:13" u="1"/>
        <d v="2025-09-11T20:12:36" u="1"/>
        <d v="2025-09-11T20:34:51" u="1"/>
        <d v="2025-09-11T21:17:29" u="1"/>
        <d v="2025-09-11T21:18:38" u="1"/>
        <d v="2025-09-11T21:19:34" u="1"/>
        <d v="2025-09-11T21:25:07" u="1"/>
        <d v="2025-09-11T21:25:15" u="1"/>
        <d v="2025-09-11T21:28:39" u="1"/>
        <d v="2025-09-11T21:28:47" u="1"/>
        <d v="2025-09-11T21:45:08" u="1"/>
        <d v="2025-09-11T22:04:14" u="1"/>
        <d v="2025-09-11T22:09:12" u="1"/>
        <d v="2025-09-11T22:13:02" u="1"/>
        <d v="2025-09-11T22:13:06" u="1"/>
        <d v="2025-09-11T22:15:02" u="1"/>
        <d v="2025-09-11T22:32:04" u="1"/>
        <d v="2025-09-11T23:00:34" u="1"/>
        <d v="2025-09-12T01:22:24" u="1"/>
        <d v="2025-09-12T06:27:24" u="1"/>
        <d v="2025-09-12T07:25:53" u="1"/>
        <d v="2025-09-12T08:08:37" u="1"/>
        <d v="2025-09-12T08:09:44" u="1"/>
        <d v="2025-09-12T08:36:46" u="1"/>
        <d v="2025-09-12T08:42:06" u="1"/>
        <d v="2025-09-12T09:44:50" u="1"/>
        <d v="2025-09-12T10:03:33" u="1"/>
        <d v="2025-09-12T10:05:43" u="1"/>
        <d v="2025-09-12T10:05:53" u="1"/>
        <d v="2025-09-12T10:09:00" u="1"/>
        <d v="2025-09-12T10:10:10" u="1"/>
        <d v="2025-09-12T10:17:11" u="1"/>
        <d v="2025-09-12T12:06:58" u="1"/>
        <d v="2025-09-12T12:07:17" u="1"/>
        <d v="2025-09-12T12:07:24" u="1"/>
        <d v="2025-09-12T13:30:34" u="1"/>
        <d v="2025-09-12T13:38:59" u="1"/>
        <d v="2025-09-12T14:03:57" u="1"/>
        <d v="2025-09-12T14:36:21" u="1"/>
        <d v="2025-09-12T15:24:25" u="1"/>
        <d v="2025-09-12T16:17:30" u="1"/>
        <d v="2025-09-12T16:50:55" u="1"/>
        <d v="2025-09-12T19:57:47" u="1"/>
        <d v="2025-09-12T20:38:40" u="1"/>
        <d v="2025-09-12T20:53:42" u="1"/>
        <d v="2025-09-12T22:08:13" u="1"/>
        <d v="2025-09-12T22:17:47" u="1"/>
        <d v="2025-09-12T22:25:23" u="1"/>
        <d v="2025-09-12T22:28:46" u="1"/>
        <d v="2025-09-12T22:28:49" u="1"/>
        <d v="2025-09-12T22:36:06" u="1"/>
        <d v="2025-09-12T23:00:20" u="1"/>
        <d v="2025-09-12T23:12:13" u="1"/>
        <d v="2025-09-12T23:59:06" u="1"/>
        <d v="2025-09-13T00:03:44" u="1"/>
        <d v="2025-09-13T00:13:10" u="1"/>
        <d v="2025-09-13T00:19:24" u="1"/>
        <d v="2025-09-13T00:58:04" u="1"/>
        <d v="2025-09-13T00:58:25" u="1"/>
        <d v="2025-09-13T01:40:43" u="1"/>
        <d v="2025-09-13T03:20:12" u="1"/>
        <d v="2025-09-13T05:40:50" u="1"/>
        <d v="2025-09-13T06:18:05" u="1"/>
        <d v="2025-09-13T08:12:32" u="1"/>
        <d v="2025-09-13T09:03:32" u="1"/>
        <d v="2025-09-13T17:05:28" u="1"/>
        <d v="2025-09-13T22:58:59" u="1"/>
        <d v="2025-09-14T01:32:40" u="1"/>
        <d v="2025-09-14T01:40:22" u="1"/>
        <d v="2025-09-14T02:04:21" u="1"/>
        <d v="2025-09-14T03:16:32" u="1"/>
        <d v="2025-09-14T03:17:03" u="1"/>
        <d v="2025-09-14T11:40:26" u="1"/>
        <d v="2025-09-14T15:59:11" u="1"/>
        <d v="2025-09-14T16:00:26" u="1"/>
        <d v="2025-09-14T16:16:03" u="1"/>
        <d v="2025-09-14T16:34:33" u="1"/>
        <d v="2025-09-14T16:41:25" u="1"/>
        <d v="2025-09-14T17:02:12" u="1"/>
        <d v="2025-09-14T17:22:30" u="1"/>
        <d v="2025-09-14T17:27:24" u="1"/>
        <d v="2025-09-14T18:00:53" u="1"/>
        <d v="2025-09-14T18:20:44" u="1"/>
        <d v="2025-09-14T18:28:51" u="1"/>
        <d v="2025-09-14T19:27:16" u="1"/>
        <d v="2025-09-14T19:43:39" u="1"/>
        <d v="2025-09-14T19:59:28" u="1"/>
        <d v="2025-09-14T20:01:17" u="1"/>
        <d v="2025-09-14T20:11:28" u="1"/>
        <d v="2025-09-14T20:13:32" u="1"/>
        <d v="2025-09-14T20:31:34" u="1"/>
        <d v="2025-09-14T20:32:30" u="1"/>
        <d v="2025-09-14T20:32:57" u="1"/>
        <d v="2025-09-14T20:33:43" u="1"/>
        <d v="2025-09-14T20:40:59" u="1"/>
        <d v="2025-09-14T21:19:45" u="1"/>
        <d v="2025-09-14T21:48:36" u="1"/>
        <d v="2025-09-14T22:00:51" u="1"/>
        <d v="2025-09-14T23:07:22" u="1"/>
        <d v="2025-09-15T01:32:27" u="1"/>
        <d v="2025-09-15T01:33:32" u="1"/>
        <d v="2025-09-15T02:33:08" u="1"/>
        <d v="2025-09-15T04:59:03" u="1"/>
        <d v="2025-09-15T06:18:46" u="1"/>
        <d v="2025-09-15T06:46:16" u="1"/>
        <d v="2025-09-15T07:38:00" u="1"/>
        <d v="2025-09-15T09:17:19" u="1"/>
        <d v="2025-09-15T11:31:18" u="1"/>
        <d v="2025-09-15T11:56:26" u="1"/>
        <d v="2025-09-15T14:14:14" u="1"/>
        <d v="2025-09-15T14:17:41" u="1"/>
        <d v="2025-09-15T15:58:17" u="1"/>
        <d v="2025-09-15T16:37:21" u="1"/>
        <d v="2025-09-15T18:02:38" u="1"/>
        <d v="2025-09-15T18:11:56" u="1"/>
        <d v="2025-09-15T18:17:23" u="1"/>
        <d v="2025-09-15T18:32:15" u="1"/>
        <d v="2025-09-15T19:07:47" u="1"/>
        <d v="2025-09-15T19:51:30" u="1"/>
        <d v="2025-09-15T20:47:19" u="1"/>
        <d v="2025-09-15T21:03:35" u="1"/>
        <d v="2025-09-15T22:00:14" u="1"/>
        <d v="2025-09-15T22:00:17" u="1"/>
        <d v="2025-09-15T22:01:21" u="1"/>
        <d v="2025-09-15T22:17:56" u="1"/>
        <d v="2025-09-15T23:01:36" u="1"/>
        <d v="2025-09-15T23:41:17" u="1"/>
        <d v="2025-09-16T00:19:23" u="1"/>
        <d v="2025-09-16T00:37:34" u="1"/>
        <d v="2025-09-16T01:40:26" u="1"/>
        <d v="2025-09-16T04:53:44" u="1"/>
        <d v="2025-09-16T05:42:06" u="1"/>
        <d v="2025-09-16T07:14:08" u="1"/>
        <d v="2025-09-16T07:15:34" u="1"/>
        <d v="2025-09-16T08:20:41" u="1"/>
        <d v="2025-09-16T08:43:01" u="1"/>
        <d v="2025-09-16T08:55:25" u="1"/>
        <d v="2025-09-16T09:25:29" u="1"/>
        <d v="2025-09-16T09:42:35" u="1"/>
        <d v="2025-09-16T10:15:47" u="1"/>
        <d v="2025-09-16T10:22:26" u="1"/>
        <d v="2025-09-16T10:53:01" u="1"/>
        <d v="2025-09-16T11:00:06" u="1"/>
        <d v="2025-09-16T11:29:53" u="1"/>
        <d v="2025-09-16T11:57:54" u="1"/>
        <d v="2025-09-16T12:15:04" u="1"/>
        <d v="2025-09-16T12:28:40" u="1"/>
        <d v="2025-09-16T13:28:34" u="1"/>
        <d v="2025-09-16T13:52:55" u="1"/>
        <d v="2025-09-16T14:38:43" u="1"/>
        <d v="2025-09-16T15:09:48" u="1"/>
        <d v="2025-09-16T15:24:39" u="1"/>
        <d v="2025-09-16T15:35:23" u="1"/>
        <d v="2025-09-16T16:13:43" u="1"/>
        <d v="2025-09-16T17:05:25" u="1"/>
        <d v="2025-09-16T17:25:24" u="1"/>
        <d v="2025-09-16T17:37:01" u="1"/>
        <d v="2025-09-16T17:42:23" u="1"/>
        <d v="2025-09-16T18:16:39" u="1"/>
        <d v="2025-09-16T18:42:41" u="1"/>
        <d v="2025-09-16T18:56:10" u="1"/>
        <d v="2025-09-16T19:17:13" u="1"/>
        <d v="2025-09-16T19:17:58" u="1"/>
        <d v="2025-09-16T20:48:32" u="1"/>
        <d v="2025-09-16T22:21:32" u="1"/>
        <d v="2025-09-16T22:23:18" u="1"/>
        <d v="2025-09-16T22:36:08" u="1"/>
        <d v="2025-09-16T23:02:31" u="1"/>
        <d v="2025-09-16T23:22:58" u="1"/>
        <d v="2025-09-17T00:40:22" u="1"/>
        <d v="2025-09-17T00:40:52" u="1"/>
        <d v="2025-09-17T00:41:00" u="1"/>
        <d v="2025-09-17T01:19:03" u="1"/>
        <d v="2025-09-17T01:41:28" u="1"/>
        <d v="2025-09-17T01:50:05" u="1"/>
        <d v="2025-09-17T02:09:12" u="1"/>
        <d v="2025-09-17T02:28:03" u="1"/>
        <d v="2025-09-17T02:30:35" u="1"/>
        <d v="2025-09-17T03:40:05" u="1"/>
        <d v="2025-09-17T04:50:14" u="1"/>
        <d v="2025-09-17T06:15:39" u="1"/>
        <d v="2025-09-17T06:57:52" u="1"/>
        <d v="2025-09-17T07:10:07" u="1"/>
        <d v="2025-09-17T08:14:22" u="1"/>
        <d v="2025-09-17T08:14:55" u="1"/>
        <d v="2025-09-17T10:48:24" u="1"/>
        <d v="2025-09-17T11:54:28" u="1"/>
        <d v="2025-09-17T12:43:33" u="1"/>
        <d v="2025-09-17T12:46:10" u="1"/>
        <d v="2025-09-17T12:49:10" u="1"/>
        <d v="2025-09-17T12:51:50" u="1"/>
        <d v="2025-09-17T12:59:05" u="1"/>
        <d v="2025-09-17T13:00:10" u="1"/>
        <d v="2025-09-17T13:03:09" u="1"/>
        <d v="2025-09-17T13:04:04" u="1"/>
        <d v="2025-09-17T13:20:13" u="1"/>
        <d v="2025-09-17T13:42:51" u="1"/>
        <d v="2025-09-17T14:00:17" u="1"/>
        <d v="2025-09-17T14:03:11" u="1"/>
        <d v="2025-09-17T14:07:34" u="1"/>
        <d v="2025-09-17T14:10:56" u="1"/>
        <d v="2025-09-17T15:11:37" u="1"/>
        <d v="2025-09-17T15:12:02" u="1"/>
        <d v="2025-09-17T16:02:19" u="1"/>
        <d v="2025-09-17T16:08:43" u="1"/>
        <d v="2025-09-17T16:21:31" u="1"/>
        <d v="2025-09-17T21:31:35" u="1"/>
        <d v="2025-09-17T21:32:01" u="1"/>
        <d v="2025-09-17T22:03:27" u="1"/>
        <d v="2025-09-17T22:44:03" u="1"/>
        <d v="2025-09-17T23:06:38" u="1"/>
        <d v="2025-09-17T23:08:47" u="1"/>
        <d v="2025-09-17T23:10:27" u="1"/>
        <d v="2025-09-17T23:11:20" u="1"/>
        <d v="2025-09-17T23:13:57" u="1"/>
        <d v="2025-09-17T23:14:27" u="1"/>
        <d v="2025-09-17T23:19:10" u="1"/>
        <d v="2025-09-17T23:20:29" u="1"/>
        <d v="2025-09-17T23:21:37" u="1"/>
        <d v="2025-09-18T00:01:06" u="1"/>
        <d v="2025-09-18T00:18:02" u="1"/>
        <d v="2025-09-18T00:53:07" u="1"/>
        <d v="2025-09-18T02:22:20" u="1"/>
        <d v="2025-09-18T02:38:38" u="1"/>
        <d v="2025-09-18T04:34:15" u="1"/>
        <d v="2025-09-18T05:31:55" u="1"/>
        <d v="2025-09-18T06:15:25" u="1"/>
        <d v="2025-09-18T06:16:04" u="1"/>
        <d v="2025-09-18T06:27:21" u="1"/>
        <d v="2025-09-18T06:40:59" u="1"/>
        <d v="2025-09-18T06:55:16" u="1"/>
        <d v="2025-09-18T07:36:37" u="1"/>
        <d v="2025-09-18T07:59:09" u="1"/>
        <d v="2025-09-18T08:04:34" u="1"/>
        <d v="2025-09-18T08:07:18" u="1"/>
        <d v="2025-09-18T08:22:56" u="1"/>
        <d v="2025-09-18T08:33:49" u="1"/>
        <d v="2025-09-18T08:38:44" u="1"/>
        <d v="2025-09-18T08:45:23" u="1"/>
        <d v="2025-09-18T09:12:56" u="1"/>
        <d v="2025-09-18T09:17:18" u="1"/>
        <d v="2025-09-18T09:30:35" u="1"/>
        <d v="2025-09-18T09:39:23" u="1"/>
        <d v="2025-09-18T10:29:30" u="1"/>
        <d v="2025-09-18T11:24:51" u="1"/>
        <d v="2025-09-18T12:39:18" u="1"/>
        <d v="2025-09-18T13:04:08" u="1"/>
        <d v="2025-09-18T14:35:54" u="1"/>
        <d v="2025-09-18T15:04:03" u="1"/>
        <d v="2025-09-18T15:09:23" u="1"/>
        <d v="2025-09-18T15:34:13" u="1"/>
        <d v="2025-09-18T16:08:27" u="1"/>
        <d v="2025-09-18T16:10:48" u="1"/>
        <d v="2025-09-18T16:11:55" u="1"/>
        <d v="2025-09-18T16:38:20" u="1"/>
        <d v="2025-09-18T17:32:59" u="1"/>
        <d v="2025-09-18T18:27:23" u="1"/>
        <d v="2025-09-18T18:43:34" u="1"/>
        <d v="2025-09-18T18:44:09" u="1"/>
        <d v="2025-09-18T19:04:42" u="1"/>
        <d v="2025-09-18T19:42:29" u="1"/>
        <d v="2025-09-18T19:42:47" u="1"/>
        <d v="2025-09-18T19:45:18" u="1"/>
        <d v="2025-09-18T20:35:06" u="1"/>
        <d v="2025-09-18T20:43:36" u="1"/>
        <d v="2025-09-18T21:50:48" u="1"/>
        <d v="2025-09-18T22:40:38" u="1"/>
        <d v="2025-09-19T04:50:19" u="1"/>
        <d v="2025-09-19T05:40:00" u="1"/>
        <d v="2025-09-19T09:03:19" u="1"/>
        <d v="2025-09-19T11:03:12" u="1"/>
        <d v="2025-09-19T11:45:38" u="1"/>
        <d v="2025-09-19T11:52:22" u="1"/>
        <d v="2025-09-19T12:27:44" u="1"/>
        <d v="2025-09-19T12:59:26" u="1"/>
        <d v="2025-09-19T13:17:04" u="1"/>
        <d v="2025-09-19T13:18:26" u="1"/>
        <d v="2025-09-19T13:18:28" u="1"/>
        <d v="2025-09-19T13:18:53" u="1"/>
        <d v="2025-09-19T13:55:56" u="1"/>
        <d v="2025-09-19T14:00:06" u="1"/>
        <d v="2025-09-19T14:39:49" u="1"/>
        <d v="2025-09-19T14:41:25" u="1"/>
        <d v="2025-09-19T16:35:02" u="1"/>
        <d v="2025-09-19T19:21:27" u="1"/>
        <d v="2025-09-19T23:40:36" u="1"/>
        <d v="2025-09-20T05:39:15" u="1"/>
        <d v="2025-09-20T05:58:02" u="1"/>
        <d v="2025-09-20T06:50:36" u="1"/>
        <d v="2025-09-20T11:03:37" u="1"/>
        <d v="2025-09-20T11:39:25" u="1"/>
        <d v="2025-09-20T11:41:08" u="1"/>
        <d v="2025-09-20T11:42:00" u="1"/>
        <d v="2025-09-20T11:42:08" u="1"/>
        <d v="2025-09-20T11:49:40" u="1"/>
        <d v="2025-09-20T14:28:12" u="1"/>
        <d v="2025-09-20T14:28:32" u="1"/>
        <d v="2025-09-20T14:37:55" u="1"/>
        <d v="2025-09-20T14:49:30" u="1"/>
        <d v="2025-09-20T18:45:29" u="1"/>
        <d v="2025-09-20T18:53:18" u="1"/>
        <d v="2025-09-20T19:51:43" u="1"/>
        <d v="2025-09-20T21:45:30" u="1"/>
        <d v="2025-09-20T21:47:40" u="1"/>
        <d v="2025-09-20T21:49:20" u="1"/>
        <d v="2025-09-20T21:51:15" u="1"/>
        <d v="2025-09-20T21:57:03" u="1"/>
        <d v="2025-09-20T21:58:54" u="1"/>
        <d v="2025-09-20T22:00:21" u="1"/>
        <d v="2025-09-20T22:00:53" u="1"/>
        <d v="2025-09-20T22:14:17" u="1"/>
        <d v="2025-09-20T22:53:59" u="1"/>
        <d v="2025-09-20T23:17:26" u="1"/>
        <d v="2025-09-21T00:01:55" u="1"/>
        <d v="2025-09-21T02:40:08" u="1"/>
        <d v="2025-09-21T02:48:49" u="1"/>
        <d v="2025-09-21T09:42:04" u="1"/>
        <d v="2025-09-21T11:52:40" u="1"/>
        <d v="2025-09-21T13:58:17" u="1"/>
        <d v="2025-09-21T20:29:10" u="1"/>
        <d v="2025-09-21T21:12:53" u="1"/>
        <d v="2025-09-22T03:50:08" u="1"/>
        <d v="2025-09-22T07:02:34" u="1"/>
        <d v="2025-09-22T07:42:46" u="1"/>
        <d v="2025-09-22T10:06:25" u="1"/>
        <d v="2025-09-22T10:15:34" u="1"/>
        <d v="2025-09-22T11:27:26" u="1"/>
        <d v="2025-09-22T11:36:44" u="1"/>
        <d v="2025-09-22T12:36:24" u="1"/>
        <d v="2025-09-22T13:51:28" u="1"/>
        <d v="2025-09-22T16:45:11" u="1"/>
        <d v="2025-09-22T16:47:33" u="1"/>
        <d v="2025-09-22T17:00:22" u="1"/>
        <d v="2025-09-22T17:05:32" u="1"/>
        <d v="2025-09-22T18:59:16" u="1"/>
        <d v="2025-09-22T20:10:29" u="1"/>
        <d v="2025-09-22T22:06:41" u="1"/>
        <d v="2025-09-22T22:07:49" u="1"/>
        <d v="2025-09-22T22:26:39" u="1"/>
        <d v="2025-09-22T23:28:01" u="1"/>
        <d v="2025-09-22T23:28:32" u="1"/>
        <d v="2025-09-22T23:31:03" u="1"/>
        <d v="2025-09-23T00:05:31" u="1"/>
        <d v="2025-09-23T00:06:23" u="1"/>
        <d v="2025-09-23T00:10:39" u="1"/>
        <d v="2025-09-23T00:11:04" u="1"/>
        <d v="2025-09-23T00:13:19" u="1"/>
        <d v="2025-09-23T00:55:07" u="1"/>
        <d v="2025-09-23T01:07:49" u="1"/>
        <d v="2025-09-23T08:05:27" u="1"/>
        <d v="2025-09-23T10:19:03" u="1"/>
        <d v="2025-09-23T10:41:42" u="1"/>
        <d v="2025-09-23T13:40:43" u="1"/>
        <d v="2025-09-23T14:06:22" u="1"/>
        <d v="2025-09-23T14:30:32" u="1"/>
        <d v="2025-09-23T15:36:40" u="1"/>
        <d v="2025-09-23T16:14:30" u="1"/>
        <d v="2025-09-23T18:14:06" u="1"/>
        <d v="2025-09-23T19:16:16" u="1"/>
        <d v="2025-09-23T20:26:30" u="1"/>
        <d v="2025-09-23T22:43:07" u="1"/>
        <d v="2025-09-24T05:44:24" u="1"/>
        <d v="2025-09-24T06:03:21" u="1"/>
        <d v="2025-09-24T08:31:54" u="1"/>
        <d v="2025-09-24T08:47:49" u="1"/>
        <d v="2025-09-24T09:07:43" u="1"/>
        <d v="2025-09-24T09:16:57" u="1"/>
        <d v="2025-09-24T10:21:15" u="1"/>
        <d v="2025-09-24T10:33:39" u="1"/>
        <d v="2025-09-24T10:45:33" u="1"/>
        <d v="2025-09-24T10:54:35" u="1"/>
        <d v="2025-09-24T11:02:51" u="1"/>
        <d v="2025-09-24T11:42:51" u="1"/>
        <d v="2025-09-24T11:47:58" u="1"/>
        <d v="2025-09-24T12:33:02" u="1"/>
        <d v="2025-09-24T12:35:38" u="1"/>
        <d v="2025-09-24T13:44:45" u="1"/>
        <d v="2025-09-24T13:56:18" u="1"/>
        <d v="2025-09-24T14:42:19" u="1"/>
        <d v="2025-09-24T14:50:33" u="1"/>
        <d v="2025-09-24T15:22:15" u="1"/>
        <d v="2025-09-24T15:27:04" u="1"/>
        <d v="2025-09-24T16:18:17" u="1"/>
        <d v="2025-09-24T16:26:26" u="1"/>
        <d v="2025-09-24T16:51:35" u="1"/>
        <d v="2025-09-24T17:11:28" u="1"/>
        <d v="2025-09-25T06:38:03" u="1"/>
        <d v="2025-09-25T07:34:27" u="1"/>
        <d v="2025-09-25T07:55:35" u="1"/>
        <d v="2025-09-25T07:56:13" u="1"/>
        <d v="2025-09-25T07:58:56" u="1"/>
        <d v="2025-09-25T08:01:41" u="1"/>
        <d v="2025-09-25T08:12:15" u="1"/>
        <d v="2025-09-25T08:16:27" u="1"/>
        <d v="2025-09-25T08:59:07" u="1"/>
        <d v="2025-09-25T09:02:23" u="1"/>
        <d v="2025-09-25T09:36:53" u="1"/>
        <d v="2025-09-25T10:05:44" u="1"/>
        <d v="2025-09-25T10:45:17" u="1"/>
        <d v="2025-09-25T11:13:45" u="1"/>
        <d v="2025-09-25T11:32:53" u="1"/>
        <d v="2025-09-25T11:35:27" u="1"/>
        <d v="2025-09-25T12:24:55" u="1"/>
        <d v="2025-09-25T12:38:30" u="1"/>
        <d v="2025-09-25T13:11:44" u="1"/>
        <d v="2025-09-25T13:24:51" u="1"/>
        <d v="2025-09-25T13:29:31" u="1"/>
        <d v="2025-09-25T14:00:34" u="1"/>
        <d v="2025-09-25T14:03:27" u="1"/>
        <d v="2025-09-25T14:24:37" u="1"/>
        <d v="2025-09-25T14:40:27" u="1"/>
        <d v="2025-09-25T14:40:43" u="1"/>
        <d v="2025-09-25T14:46:46" u="1"/>
        <d v="2025-09-25T14:51:07" u="1"/>
        <d v="2025-09-25T14:57:25" u="1"/>
        <d v="2025-09-25T15:00:11" u="1"/>
        <d v="2025-09-25T15:01:58" u="1"/>
        <d v="2025-09-25T15:02:01" u="1"/>
        <d v="2025-09-25T15:02:53" u="1"/>
        <d v="2025-09-25T15:04:48" u="1"/>
        <d v="2025-09-25T15:19:02" u="1"/>
        <d v="2025-09-25T15:26:57" u="1"/>
        <d v="2025-09-25T16:03:28" u="1"/>
        <d v="2025-09-25T16:21:56" u="1"/>
        <d v="2025-09-25T17:10:05" u="1"/>
        <d v="2025-09-25T17:34:18" u="1"/>
        <d v="2025-09-25T18:21:48" u="1"/>
        <d v="2025-09-25T19:45:49" u="1"/>
        <d v="2025-09-25T20:32:53" u="1"/>
        <d v="2025-09-25T20:33:05" u="1"/>
        <d v="2025-09-25T20:59:02" u="1"/>
        <d v="2025-09-26T01:31:28" u="1"/>
        <d v="2025-09-26T05:42:36" u="1"/>
        <d v="2025-09-26T06:12:18" u="1"/>
        <d v="2025-09-26T06:33:45" u="1"/>
        <d v="2025-09-26T06:44:51" u="1"/>
        <d v="2025-09-26T07:04:02" u="1"/>
        <d v="2025-09-26T10:18:26" u="1"/>
        <d v="2025-09-26T10:22:50" u="1"/>
        <d v="2025-09-26T11:02:31" u="1"/>
        <d v="2025-09-26T11:13:27" u="1"/>
        <d v="2025-09-26T11:14:33" u="1"/>
        <d v="2025-09-26T11:34:17" u="1"/>
        <d v="2025-09-26T12:20:03" u="1"/>
        <d v="2025-09-26T12:44:17" u="1"/>
        <d v="2025-09-26T12:45:45" u="1"/>
        <d v="2025-09-26T12:56:06" u="1"/>
        <d v="2025-09-26T13:09:07" u="1"/>
        <d v="2025-09-26T13:46:50" u="1"/>
        <d v="2025-09-26T13:46:57" u="1"/>
        <d v="2025-09-26T13:47:32" u="1"/>
        <d v="2025-09-26T13:48:02" u="1"/>
        <d v="2025-09-26T14:04:12" u="1"/>
        <d v="2025-09-26T14:07:26" u="1"/>
        <d v="2025-09-26T14:08:03" u="1"/>
        <d v="2025-09-26T14:09:49" u="1"/>
        <d v="2025-09-26T14:41:19" u="1"/>
        <d v="2025-09-26T14:58:01" u="1"/>
        <d v="2025-09-26T15:01:06" u="1"/>
        <d v="2025-09-26T15:01:53" u="1"/>
        <d v="2025-09-26T15:01:56" u="1"/>
        <d v="2025-09-26T15:03:30" u="1"/>
        <d v="2025-09-26T15:05:32" u="1"/>
        <d v="2025-09-26T15:09:23" u="1"/>
        <d v="2025-09-26T15:23:29" u="1"/>
        <d v="2025-09-26T15:30:41" u="1"/>
        <d v="2025-09-26T16:12:45" u="1"/>
        <d v="2025-09-26T16:17:09" u="1"/>
        <d v="2025-09-26T16:47:03" u="1"/>
        <d v="2025-09-26T17:05:30" u="1"/>
        <d v="2025-09-26T17:05:43" u="1"/>
        <d v="2025-09-26T17:44:31" u="1"/>
        <d v="2025-09-26T17:57:45" u="1"/>
        <d v="2025-09-26T18:06:59" u="1"/>
        <d v="2025-09-26T18:10:45" u="1"/>
        <d v="2025-09-26T18:23:07" u="1"/>
        <d v="2025-09-26T18:35:03" u="1"/>
        <d v="2025-09-26T19:00:01" u="1"/>
        <d v="2025-09-26T19:51:20" u="1"/>
        <d v="2025-09-26T19:53:59" u="1"/>
        <d v="2025-09-26T19:54:17" u="1"/>
        <d v="2025-09-26T20:30:08" u="1"/>
        <d v="2025-09-26T20:36:33" u="1"/>
        <d v="2025-09-26T21:14:06" u="1"/>
        <d v="2025-09-26T21:36:19" u="1"/>
        <d v="2025-09-26T22:13:20" u="1"/>
        <d v="2025-09-26T22:56:49" u="1"/>
        <d v="2025-09-26T23:43:04" u="1"/>
        <d v="2025-09-26T23:55:52" u="1"/>
        <d v="2025-09-27T02:04:05" u="1"/>
        <d v="2025-09-27T03:08:33" u="1"/>
        <d v="2025-09-27T03:37:24" u="1"/>
        <d v="2025-09-27T05:51:53" u="1"/>
        <d v="2025-09-27T05:52:15" u="1"/>
        <d v="2025-09-27T06:32:56" u="1"/>
        <d v="2025-09-27T06:52:09" u="1"/>
        <d v="2025-09-27T08:05:14" u="1"/>
        <d v="2025-09-27T09:11:43" u="1"/>
        <d v="2025-09-27T09:19:16" u="1"/>
        <d v="2025-09-27T09:59:12" u="1"/>
        <d v="2025-09-27T10:03:44" u="1"/>
        <d v="2025-09-27T10:49:00" u="1"/>
        <d v="2025-09-27T11:11:58" u="1"/>
        <d v="2025-09-27T11:25:06" u="1"/>
        <d v="2025-09-27T11:25:09" u="1"/>
        <d v="2025-09-27T12:08:22" u="1"/>
        <d v="2025-09-27T12:27:19" u="1"/>
        <d v="2025-09-27T13:00:21" u="1"/>
        <d v="2025-09-27T14:19:13" u="1"/>
        <d v="2025-09-27T14:46:22" u="1"/>
        <d v="2025-09-27T14:54:16" u="1"/>
        <d v="2025-09-27T15:06:22" u="1"/>
        <d v="2025-09-27T18:53:27" u="1"/>
        <d v="2025-09-27T22:58:22" u="1"/>
        <d v="2025-09-27T23:01:59" u="1"/>
        <d v="2025-09-27T23:09:45" u="1"/>
        <d v="2025-09-27T23:25:43" u="1"/>
        <d v="2025-09-28T00:21:52" u="1"/>
        <d v="2025-09-28T01:23:19" u="1"/>
        <d v="2025-09-28T02:03:00" u="1"/>
        <d v="2025-09-28T07:26:32" u="1"/>
        <d v="2025-09-28T13:28:01" u="1"/>
        <d v="2025-09-28T14:25:18" u="1"/>
        <d v="2025-09-28T16:00:47" u="1"/>
        <d v="2025-09-28T16:01:14" u="1"/>
        <d v="2025-09-28T18:12:01" u="1"/>
        <d v="2025-09-28T18:16:16" u="1"/>
        <d v="2025-09-28T18:16:41" u="1"/>
        <d v="2025-09-28T18:17:53" u="1"/>
        <d v="2025-09-28T22:05:10" u="1"/>
        <d v="2025-09-29T00:24:50" u="1"/>
        <d v="2025-09-29T04:08:16" u="1"/>
        <d v="2025-09-29T07:15:38" u="1"/>
        <d v="2025-09-29T07:53:01" u="1"/>
        <d v="2025-09-29T08:11:59" u="1"/>
        <d v="2025-09-29T08:12:43" u="1"/>
        <d v="2025-09-29T08:13:45" u="1"/>
        <d v="2025-09-29T08:15:09" u="1"/>
        <d v="2025-09-29T08:36:16" u="1"/>
        <d v="2025-09-29T09:38:12" u="1"/>
        <d v="2025-09-29T10:26:52" u="1"/>
        <d v="2025-09-29T10:28:36" u="1"/>
        <d v="2025-09-29T11:11:38" u="1"/>
        <d v="2025-09-29T11:42:53" u="1"/>
        <d v="2025-09-29T11:45:21" u="1"/>
        <d v="2025-09-29T11:57:46" u="1"/>
        <d v="2025-09-29T12:00:11" u="1"/>
        <d v="2025-09-29T12:20:52" u="1"/>
        <d v="2025-09-29T12:33:57" u="1"/>
        <d v="2025-09-29T13:02:07" u="1"/>
        <d v="2025-09-29T13:02:45" u="1"/>
        <d v="2025-09-29T13:31:35" u="1"/>
        <d v="2025-09-29T13:35:47" u="1"/>
        <d v="2025-09-29T13:59:19" u="1"/>
        <d v="2025-09-29T14:18:53" u="1"/>
        <d v="2025-09-29T14:46:35" u="1"/>
        <d v="2025-09-29T14:53:38" u="1"/>
        <d v="2025-09-29T14:58:27" u="1"/>
        <d v="2025-09-29T15:24:20" u="1"/>
        <d v="2025-09-29T15:25:20" u="1"/>
        <d v="2025-09-29T15:36:16" u="1"/>
        <d v="2025-09-29T16:04:26" u="1"/>
        <d v="2025-09-29T16:04:56" u="1"/>
        <d v="2025-09-29T16:09:38" u="1"/>
        <d v="2025-09-29T16:44:04" u="1"/>
        <d v="2025-09-29T16:52:16" u="1"/>
        <d v="2025-09-29T17:24:56" u="1"/>
        <d v="2025-09-29T17:38:11" u="1"/>
        <d v="2025-09-29T17:45:22" u="1"/>
        <d v="2025-09-29T18:31:53" u="1"/>
        <d v="2025-09-29T18:45:36" u="1"/>
        <d v="2025-09-29T18:47:36" u="1"/>
        <d v="2025-09-29T18:52:18" u="1"/>
        <d v="2025-09-29T18:55:57" u="1"/>
        <d v="2025-09-29T18:57:23" u="1"/>
        <d v="2025-09-29T19:00:12" u="1"/>
        <d v="2025-09-29T19:02:32" u="1"/>
        <d v="2025-09-29T19:03:40" u="1"/>
        <d v="2025-09-29T19:06:55" u="1"/>
        <d v="2025-09-29T19:19:52" u="1"/>
        <d v="2025-09-29T19:20:52" u="1"/>
        <d v="2025-09-29T19:30:36" u="1"/>
        <d v="2025-09-29T19:55:18" u="1"/>
        <d v="2025-09-29T20:04:30" u="1"/>
        <d v="2025-09-29T20:12:41" u="1"/>
        <d v="2025-09-30T01:43:08" u="1"/>
        <d v="2025-09-30T06:40:26" u="1"/>
        <d v="2025-09-30T07:48:08" u="1"/>
        <d v="2025-09-30T09:01:17" u="1"/>
        <d v="2025-09-30T09:16:58" u="1"/>
        <d v="2025-09-30T09:29:31" u="1"/>
        <d v="2025-09-30T09:40:00" u="1"/>
        <d v="2025-09-30T09:41:26" u="1"/>
        <d v="2025-09-30T10:14:56" u="1"/>
        <d v="2025-09-30T10:17:31" u="1"/>
        <d v="2025-09-30T10:24:31" u="1"/>
        <d v="2025-09-30T10:29:22" u="1"/>
        <d v="2025-09-30T10:37:46" u="1"/>
        <d v="2025-09-30T10:45:03" u="1"/>
        <d v="2025-09-30T11:01:24" u="1"/>
        <d v="2025-09-30T11:27:54" u="1"/>
        <d v="2025-09-30T13:25:45" u="1"/>
        <d v="2025-09-30T14:07:03" u="1"/>
        <d v="2025-09-30T14:09:53" u="1"/>
        <d v="2025-09-30T15:11:34" u="1"/>
        <d v="2025-09-30T15:12:31" u="1"/>
        <d v="2025-09-30T15:45:03" u="1"/>
        <d v="2025-06-18T08:02:05" u="1"/>
        <d v="2025-06-18T08:09:13" u="1"/>
        <d v="2025-06-18T08:10:51" u="1"/>
        <d v="2025-06-18T08:16:14" u="1"/>
        <d v="2025-06-18T08:20:59" u="1"/>
        <d v="2025-06-18T08:36:54" u="1"/>
        <d v="2025-06-18T10:09:55" u="1"/>
        <d v="2025-06-18T11:44:20" u="1"/>
        <d v="2025-06-18T12:44:26" u="1"/>
        <d v="2025-06-18T12:57:41" u="1"/>
        <d v="2025-06-18T13:03:09" u="1"/>
        <d v="2025-06-18T13:19:09" u="1"/>
        <d v="2025-06-18T13:27:37" u="1"/>
        <d v="2025-06-18T13:31:09" u="1"/>
        <d v="2025-06-18T14:06:51" u="1"/>
        <d v="2025-06-18T14:50:32" u="1"/>
        <d v="2025-06-18T16:13:12" u="1"/>
        <d v="2025-06-18T16:49:05" u="1"/>
        <d v="2025-06-18T16:49:19" u="1"/>
        <d v="2025-06-18T16:50:23" u="1"/>
        <d v="2025-06-18T16:51:26" u="1"/>
        <d v="2025-06-18T16:52:23" u="1"/>
        <d v="2025-06-18T16:52:58" u="1"/>
        <d v="2025-06-18T16:56:31" u="1"/>
        <d v="2025-06-18T16:57:04" u="1"/>
        <d v="2025-06-18T16:59:45" u="1"/>
        <d v="2025-06-18T17:00:15" u="1"/>
        <d v="2025-06-18T17:01:50" u="1"/>
        <d v="2025-06-18T17:07:18" u="1"/>
        <d v="2025-06-18T17:11:52" u="1"/>
        <d v="2025-06-18T17:36:11" u="1"/>
        <d v="2025-06-18T20:48:02" u="1"/>
        <d v="2025-06-18T22:10:09" u="1"/>
        <d v="2025-06-18T22:13:44" u="1"/>
        <d v="2025-06-18T22:20:10" u="1"/>
        <d v="2025-06-18T22:22:49" u="1"/>
        <d v="2025-06-18T22:31:18" u="1"/>
        <d v="2025-06-18T22:39:46" u="1"/>
        <d v="2025-06-18T22:50:59" u="1"/>
        <d v="2025-06-18T22:51:34" u="1"/>
        <d v="2025-06-18T22:51:55" u="1"/>
        <d v="2025-06-18T22:57:15" u="1"/>
        <d v="2025-06-18T23:00:18" u="1"/>
        <d v="2025-06-18T23:00:51" u="1"/>
        <d v="2025-06-18T23:01:36" u="1"/>
        <d v="2025-06-18T23:03:51" u="1"/>
        <d v="2025-06-18T23:07:48" u="1"/>
        <d v="2025-06-18T23:13:45" u="1"/>
        <d v="2025-06-18T23:19:27" u="1"/>
        <d v="2025-06-18T23:26:07" u="1"/>
        <d v="2025-06-18T23:35:18" u="1"/>
        <d v="2025-06-18T23:41:11" u="1"/>
        <d v="2025-06-18T23:52:17" u="1"/>
        <d v="2025-06-19T00:00:01" u="1"/>
        <d v="2025-06-19T00:19:57" u="1"/>
        <d v="2025-06-19T00:22:44" u="1"/>
        <d v="2025-06-19T00:23:48" u="1"/>
        <d v="2025-06-19T00:28:54" u="1"/>
        <d v="2025-06-19T00:29:51" u="1"/>
        <d v="2025-06-19T00:43:03" u="1"/>
        <d v="2025-06-19T01:03:35" u="1"/>
        <d v="2025-06-19T01:07:30" u="1"/>
        <d v="2025-06-19T01:33:44" u="1"/>
        <d v="2025-06-19T01:34:27" u="1"/>
        <d v="2025-06-19T03:12:15" u="1"/>
        <d v="2025-06-19T03:14:58" u="1"/>
        <d v="2025-06-19T03:17:51" u="1"/>
        <d v="2025-06-19T03:20:22" u="1"/>
        <d v="2025-06-19T03:31:12" u="1"/>
        <d v="2025-06-19T04:08:03" u="1"/>
        <d v="2025-06-19T04:13:38" u="1"/>
        <d v="2025-06-19T04:19:31" u="1"/>
        <d v="2025-06-19T04:23:39" u="1"/>
        <d v="2025-06-19T05:00:19" u="1"/>
        <d v="2025-06-19T05:06:12" u="1"/>
        <d v="2025-06-19T05:06:33" u="1"/>
        <d v="2025-06-19T05:27:16" u="1"/>
        <d v="2025-06-19T06:07:14" u="1"/>
        <d v="2025-06-19T06:46:44" u="1"/>
        <d v="2025-06-19T07:20:24" u="1"/>
        <d v="2025-06-19T07:20:37" u="1"/>
        <d v="2025-06-19T09:27:29" u="1"/>
        <d v="2025-06-19T09:42:51" u="1"/>
        <d v="2025-06-19T10:20:41" u="1"/>
        <d v="2025-06-19T10:28:01" u="1"/>
        <d v="2025-06-19T11:31:29" u="1"/>
        <d v="2025-06-19T11:43:22" u="1"/>
        <d v="2025-06-19T12:59:26" u="1"/>
        <d v="2025-06-19T15:17:09" u="1"/>
        <d v="2025-06-19T15:43:36" u="1"/>
        <d v="2025-06-19T17:08:30" u="1"/>
        <d v="2025-06-19T19:20:30" u="1"/>
        <d v="2025-06-19T21:15:31" u="1"/>
        <d v="2025-06-19T21:15:52" u="1"/>
        <d v="2025-06-19T22:26:21" u="1"/>
        <d v="2025-06-19T22:34:22" u="1"/>
        <d v="2025-06-19T23:03:33" u="1"/>
        <d v="2025-06-19T23:12:51" u="1"/>
        <d v="2025-06-19T23:26:21" u="1"/>
        <d v="2025-06-19T23:43:07" u="1"/>
        <d v="2025-06-19T23:45:19" u="1"/>
        <d v="2025-06-20T01:32:32" u="1"/>
        <d v="2025-06-20T01:36:55" u="1"/>
        <d v="2025-06-20T02:13:06" u="1"/>
        <d v="2025-06-20T03:20:52" u="1"/>
        <d v="2025-06-20T03:27:09" u="1"/>
        <d v="2025-06-20T03:58:42" u="1"/>
        <d v="2025-06-20T04:01:08" u="1"/>
        <d v="2025-06-20T05:38:57" u="1"/>
        <d v="2025-06-20T05:46:54" u="1"/>
        <d v="2025-06-20T05:52:50" u="1"/>
        <d v="2025-06-20T06:24:52" u="1"/>
        <d v="2025-06-20T07:16:29" u="1"/>
        <d v="2025-06-20T07:29:15" u="1"/>
        <d v="2025-06-20T07:32:17" u="1"/>
        <d v="2025-06-20T07:51:36" u="1"/>
        <d v="2025-06-20T07:52:20" u="1"/>
        <d v="2025-06-20T08:02:56" u="1"/>
        <d v="2025-06-20T08:07:17" u="1"/>
        <d v="2025-06-20T09:41:46" u="1"/>
        <d v="2025-06-20T09:45:39" u="1"/>
        <d v="2025-06-20T10:00:10" u="1"/>
        <d v="2025-06-20T10:00:41" u="1"/>
        <d v="2025-06-20T10:02:34" u="1"/>
        <d v="2025-06-20T10:03:11" u="1"/>
        <d v="2025-06-20T11:00:59" u="1"/>
        <d v="2025-06-20T13:01:25" u="1"/>
        <d v="2025-06-20T13:20:43" u="1"/>
        <d v="2025-06-21T02:14:40" u="1"/>
        <d v="2025-06-21T04:53:24" u="1"/>
        <d v="2025-06-21T04:56:01" u="1"/>
        <d v="2025-06-21T04:57:56" u="1"/>
        <d v="2025-06-21T04:59:27" u="1"/>
        <d v="2025-06-21T05:01:01" u="1"/>
        <d v="2025-06-21T05:01:37" u="1"/>
        <d v="2025-06-21T05:08:59" u="1"/>
        <d v="2025-06-21T05:27:30" u="1"/>
        <d v="2025-06-21T05:44:30" u="1"/>
        <d v="2025-06-21T06:09:27" u="1"/>
        <d v="2025-06-21T06:12:14" u="1"/>
        <d v="2025-06-21T06:31:57" u="1"/>
        <d v="2025-06-21T06:39:39" u="1"/>
        <d v="2025-06-21T07:37:17" u="1"/>
        <d v="2025-06-21T08:03:42" u="1"/>
        <d v="2025-06-21T08:04:27" u="1"/>
        <d v="2025-06-21T08:57:08" u="1"/>
        <d v="2025-06-21T09:00:06" u="1"/>
        <d v="2025-06-21T09:57:46" u="1"/>
        <d v="2025-06-21T10:56:55" u="1"/>
        <d v="2025-06-21T11:03:19" u="1"/>
        <d v="2025-06-21T14:43:18" u="1"/>
        <d v="2025-06-21T23:02:58" u="1"/>
        <d v="2025-06-22T00:03:58" u="1"/>
        <d v="2025-06-22T01:18:28" u="1"/>
        <d v="2025-06-22T01:56:02" u="1"/>
        <d v="2025-06-22T02:08:21" u="1"/>
        <d v="2025-06-22T03:01:08" u="1"/>
        <d v="2025-06-22T03:58:14" u="1"/>
        <d v="2025-06-22T04:24:40" u="1"/>
        <d v="2025-06-22T06:31:36" u="1"/>
        <d v="2025-06-22T06:52:42" u="1"/>
        <d v="2025-06-22T07:51:27" u="1"/>
        <d v="2025-06-22T09:03:25" u="1"/>
        <d v="2025-06-22T09:07:14" u="1"/>
        <d v="2025-06-22T09:08:48" u="1"/>
        <d v="2025-06-22T11:48:55" u="1"/>
        <d v="2025-06-22T12:32:37" u="1"/>
        <d v="2025-06-22T12:33:38" u="1"/>
        <d v="2025-06-22T12:40:07" u="1"/>
        <d v="2025-06-22T16:12:02" u="1"/>
        <d v="2025-06-22T19:59:10" u="1"/>
        <d v="2025-06-22T20:00:33" u="1"/>
        <d v="2025-06-22T22:59:31" u="1"/>
        <d v="2025-06-22T23:00:36" u="1"/>
        <d v="2025-06-22T23:04:52" u="1"/>
        <d v="2025-06-22T23:32:40" u="1"/>
        <d v="2025-06-22T23:44:26" u="1"/>
        <d v="2025-06-23T00:29:38" u="1"/>
        <d v="2025-06-23T00:55:15" u="1"/>
        <d v="2025-06-23T01:20:35" u="1"/>
        <d v="2025-06-23T01:42:03" u="1"/>
        <d v="2025-06-23T02:32:03" u="1"/>
        <d v="2025-06-23T02:49:10" u="1"/>
        <d v="2025-06-23T09:05:36" u="1"/>
        <d v="2025-06-23T10:01:59" u="1"/>
        <d v="2025-06-23T13:16:14" u="1"/>
        <d v="2025-06-23T13:23:34" u="1"/>
        <d v="2025-06-23T13:32:21" u="1"/>
        <d v="2025-06-23T19:22:34" u="1"/>
        <d v="2025-06-23T22:19:58" u="1"/>
        <d v="2025-06-23T23:22:22" u="1"/>
        <d v="2025-06-23T23:50:06" u="1"/>
        <d v="2025-06-24T00:00:09" u="1"/>
        <d v="2025-06-24T00:03:59" u="1"/>
        <d v="2025-06-24T00:17:54" u="1"/>
        <d v="2025-06-24T00:22:41" u="1"/>
        <d v="2025-06-24T00:38:31" u="1"/>
        <d v="2025-06-24T01:00:40" u="1"/>
        <d v="2025-06-24T02:42:42" u="1"/>
        <d v="2025-06-24T02:44:17" u="1"/>
        <d v="2025-06-24T03:40:11" u="1"/>
        <d v="2025-06-24T04:06:19" u="1"/>
        <d v="2025-06-24T04:15:24" u="1"/>
        <d v="2025-06-24T04:29:41" u="1"/>
        <d v="2025-06-24T05:14:35" u="1"/>
        <d v="2025-06-24T06:05:39" u="1"/>
        <d v="2025-06-24T06:08:15" u="1"/>
        <d v="2025-06-24T07:55:21" u="1"/>
        <d v="2025-06-24T08:21:28" u="1"/>
        <d v="2025-06-24T08:48:37" u="1"/>
        <d v="2025-06-24T09:19:15" u="1"/>
        <d v="2025-06-24T14:40:20" u="1"/>
        <d v="2025-06-24T18:55:01" u="1"/>
        <d v="2025-06-24T22:26:26" u="1"/>
        <d v="2025-06-24T23:29:05" u="1"/>
        <d v="2025-06-24T23:33:28" u="1"/>
        <d v="2025-06-24T23:47:41" u="1"/>
        <d v="2025-06-25T00:00:12" u="1"/>
        <d v="2025-06-25T00:50:27" u="1"/>
        <d v="2025-06-25T01:39:15" u="1"/>
        <d v="2025-06-25T01:43:37" u="1"/>
        <d v="2025-06-25T02:01:31" u="1"/>
        <d v="2025-06-25T03:02:45" u="1"/>
        <d v="2025-06-25T03:25:51" u="1"/>
        <d v="2025-06-25T03:30:35" u="1"/>
        <d v="2025-06-25T03:58:16" u="1"/>
        <d v="2025-06-25T04:00:18" u="1"/>
        <d v="2025-06-25T04:16:24" u="1"/>
        <d v="2025-06-25T04:17:52" u="1"/>
        <d v="2025-06-25T04:51:28" u="1"/>
        <d v="2025-06-25T04:52:11" u="1"/>
        <d v="2025-06-25T05:16:10" u="1"/>
        <d v="2025-06-25T05:18:25" u="1"/>
        <d v="2025-06-25T06:18:36" u="1"/>
        <d v="2025-06-25T06:37:27" u="1"/>
        <d v="2025-06-25T07:45:35" u="1"/>
        <d v="2025-06-25T07:58:30" u="1"/>
        <d v="2025-06-25T08:05:09" u="1"/>
        <d v="2025-06-25T08:24:44" u="1"/>
        <d v="2025-06-25T08:28:11" u="1"/>
        <d v="2025-06-25T08:28:32" u="1"/>
        <d v="2025-06-25T10:28:46" u="1"/>
        <d v="2025-06-25T14:19:54" u="1"/>
        <d v="2025-06-25T15:05:18" u="1"/>
        <d v="2025-06-25T17:36:24" u="1"/>
        <d v="2025-06-25T18:53:09" u="1"/>
        <d v="2025-06-25T20:37:28" u="1"/>
        <d v="2025-06-25T20:47:41" u="1"/>
        <d v="2025-06-25T20:54:31" u="1"/>
        <d v="2025-06-25T21:42:03" u="1"/>
        <d v="2025-06-25T22:02:22" u="1"/>
        <d v="2025-06-25T22:21:24" u="1"/>
        <d v="2025-06-25T22:26:55" u="1"/>
        <d v="2025-06-25T22:28:16" u="1"/>
        <d v="2025-06-25T22:34:36" u="1"/>
        <d v="2025-06-25T22:39:44" u="1"/>
        <d v="2025-06-25T23:01:53" u="1"/>
        <d v="2025-06-25T23:17:18" u="1"/>
        <d v="2025-06-25T23:19:40" u="1"/>
        <d v="2025-06-25T23:33:04" u="1"/>
        <d v="2025-06-26T00:01:29" u="1"/>
        <d v="2025-06-26T00:36:25" u="1"/>
        <d v="2025-06-26T00:37:50" u="1"/>
        <d v="2025-06-26T00:50:14" u="1"/>
        <d v="2025-06-26T00:56:22" u="1"/>
        <d v="2025-06-26T01:01:15" u="1"/>
        <d v="2025-06-26T01:08:03" u="1"/>
        <d v="2025-06-26T01:09:16" u="1"/>
        <d v="2025-06-26T01:19:54" u="1"/>
        <d v="2025-06-26T02:16:59" u="1"/>
        <d v="2025-06-26T02:29:59" u="1"/>
        <d v="2025-06-26T02:32:43" u="1"/>
        <d v="2025-06-26T02:36:06" u="1"/>
        <d v="2025-06-26T02:38:14" u="1"/>
        <d v="2025-06-26T02:45:24" u="1"/>
        <d v="2025-06-26T02:51:17" u="1"/>
        <d v="2025-06-26T03:00:05" u="1"/>
        <d v="2025-06-26T03:06:27" u="1"/>
        <d v="2025-06-26T03:16:02" u="1"/>
        <d v="2025-06-26T03:17:16" u="1"/>
        <d v="2025-06-26T03:17:34" u="1"/>
        <d v="2025-06-26T03:19:43" u="1"/>
        <d v="2025-06-26T03:20:22" u="1"/>
        <d v="2025-06-26T03:20:45" u="1"/>
        <d v="2025-06-26T03:28:23" u="1"/>
        <d v="2025-06-26T03:30:51" u="1"/>
        <d v="2025-06-26T03:55:53" u="1"/>
        <d v="2025-06-26T04:10:55" u="1"/>
        <d v="2025-06-26T04:12:35" u="1"/>
        <d v="2025-06-26T04:12:50" u="1"/>
        <d v="2025-06-26T04:19:34" u="1"/>
        <d v="2025-06-26T04:20:26" u="1"/>
        <d v="2025-06-26T04:23:40" u="1"/>
        <d v="2025-06-26T04:25:08" u="1"/>
        <d v="2025-06-26T04:28:03" u="1"/>
        <d v="2025-06-26T04:32:33" u="1"/>
        <d v="2025-06-26T04:47:26" u="1"/>
        <d v="2025-06-26T04:56:50" u="1"/>
        <d v="2025-06-26T04:57:51" u="1"/>
        <d v="2025-06-26T04:58:39" u="1"/>
        <d v="2025-06-26T05:00:09" u="1"/>
        <d v="2025-06-26T05:00:23" u="1"/>
        <d v="2025-06-26T05:03:05" u="1"/>
        <d v="2025-06-26T05:09:18" u="1"/>
        <d v="2025-06-26T05:17:11" u="1"/>
        <d v="2025-06-26T05:18:47" u="1"/>
        <d v="2025-06-26T05:28:37" u="1"/>
        <d v="2025-06-26T05:52:04" u="1"/>
        <d v="2025-06-26T05:57:19" u="1"/>
        <d v="2025-06-26T06:09:20" u="1"/>
        <d v="2025-06-26T06:45:10" u="1"/>
        <d v="2025-06-26T06:59:23" u="1"/>
        <d v="2025-06-26T07:39:08" u="1"/>
        <d v="2025-06-26T07:39:49" u="1"/>
        <d v="2025-06-26T07:48:22" u="1"/>
        <d v="2025-06-26T07:54:08" u="1"/>
        <d v="2025-06-26T07:55:13" u="1"/>
        <d v="2025-06-26T08:10:27" u="1"/>
        <d v="2025-06-26T08:11:17" u="1"/>
        <d v="2025-06-26T08:13:08" u="1"/>
        <d v="2025-06-26T08:13:25" u="1"/>
        <d v="2025-06-26T08:16:02" u="1"/>
        <d v="2025-06-26T09:05:00" u="1"/>
        <d v="2025-06-26T09:52:03" u="1"/>
        <d v="2025-06-26T12:18:40" u="1"/>
        <d v="2025-06-26T12:23:35" u="1"/>
        <d v="2025-06-26T14:46:17" u="1"/>
        <d v="2025-06-26T21:42:49" u="1"/>
        <d v="2025-06-26T21:55:34" u="1"/>
        <d v="2025-06-26T21:56:35" u="1"/>
        <d v="2025-06-26T21:57:34" u="1"/>
        <d v="2025-06-26T21:59:00" u="1"/>
        <d v="2025-06-26T22:28:17" u="1"/>
        <d v="2025-06-26T22:56:29" u="1"/>
        <d v="2025-06-26T23:12:02" u="1"/>
        <d v="2025-06-27T00:06:45" u="1"/>
        <d v="2025-06-27T00:08:21" u="1"/>
        <d v="2025-06-27T02:45:04" u="1"/>
        <d v="2025-06-27T02:55:28" u="1"/>
        <d v="2025-06-27T03:03:27" u="1"/>
        <d v="2025-06-27T03:42:04" u="1"/>
        <d v="2025-06-27T03:47:48" u="1"/>
        <d v="2025-06-27T03:48:23" u="1"/>
        <d v="2025-06-27T03:59:47" u="1"/>
        <d v="2025-06-27T04:00:28" u="1"/>
        <d v="2025-06-27T04:02:00" u="1"/>
        <d v="2025-06-27T04:23:58" u="1"/>
        <d v="2025-06-27T04:55:11" u="1"/>
        <d v="2025-06-27T04:58:29" u="1"/>
        <d v="2025-06-27T04:59:06" u="1"/>
        <d v="2025-06-27T05:03:16" u="1"/>
        <d v="2025-06-27T05:09:03" u="1"/>
        <d v="2025-06-27T06:26:51" u="1"/>
        <d v="2025-06-27T07:15:39" u="1"/>
        <d v="2025-06-27T07:39:20" u="1"/>
        <d v="2025-06-27T07:56:58" u="1"/>
        <d v="2025-06-27T07:57:17" u="1"/>
        <d v="2025-06-27T08:14:35" u="1"/>
        <d v="2025-06-27T08:35:40" u="1"/>
        <d v="2025-06-27T08:52:25" u="1"/>
        <d v="2025-06-27T09:13:59" u="1"/>
        <d v="2025-06-27T10:14:49" u="1"/>
        <d v="2025-06-27T10:41:52" u="1"/>
        <d v="2025-06-27T10:43:11" u="1"/>
        <d v="2025-06-27T11:01:14" u="1"/>
        <d v="2025-06-27T12:27:12" u="1"/>
        <d v="2025-06-27T16:41:33" u="1"/>
        <d v="2025-06-27T21:19:57" u="1"/>
        <d v="2025-06-27T22:55:30" u="1"/>
        <d v="2025-06-28T01:18:03" u="1"/>
        <d v="2025-06-28T02:56:13" u="1"/>
        <d v="2025-06-28T03:17:30" u="1"/>
        <d v="2025-06-28T04:42:07" u="1"/>
        <d v="2025-06-28T05:25:11" u="1"/>
        <d v="2025-06-28T05:26:28" u="1"/>
        <d v="2025-06-28T06:32:22" u="1"/>
        <d v="2025-06-28T06:49:14" u="1"/>
        <d v="2025-06-28T06:57:11" u="1"/>
        <d v="2025-06-28T07:02:59" u="1"/>
        <d v="2025-06-28T08:27:26" u="1"/>
        <d v="2025-06-28T08:39:02" u="1"/>
        <d v="2025-06-28T08:47:11" u="1"/>
        <d v="2025-06-28T10:52:00" u="1"/>
        <d v="2025-06-28T11:22:48" u="1"/>
        <d v="2025-06-28T11:58:19" u="1"/>
        <d v="2025-06-28T12:04:38" u="1"/>
        <d v="2025-06-28T12:32:24" u="1"/>
        <d v="2025-06-28T15:56:00" u="1"/>
        <d v="2025-06-28T16:26:57" u="1"/>
        <d v="2025-06-28T16:27:09" u="1"/>
        <d v="2025-06-28T19:55:15" u="1"/>
        <d v="2025-06-28T20:16:14" u="1"/>
        <d v="2025-06-28T21:21:00" u="1"/>
        <d v="2025-06-29T06:26:34" u="1"/>
        <d v="2025-06-29T06:28:29" u="1"/>
        <d v="2025-06-29T09:42:49" u="1"/>
        <d v="2025-06-29T09:56:27" u="1"/>
        <d v="2025-06-29T10:02:00" u="1"/>
        <d v="2025-06-29T11:43:08" u="1"/>
        <d v="2025-06-29T15:00:53" u="1"/>
        <d v="2025-06-29T15:13:49" u="1"/>
        <d v="2025-06-29T15:17:56" u="1"/>
        <d v="2025-06-29T22:33:26" u="1"/>
        <d v="2025-06-30T00:57:04" u="1"/>
        <d v="2025-06-30T02:47:30" u="1"/>
        <d v="2025-06-30T02:50:09" u="1"/>
        <d v="2025-06-30T02:55:55" u="1"/>
        <d v="2025-06-30T02:56:34" u="1"/>
        <d v="2025-06-30T02:57:15" u="1"/>
        <d v="2025-06-30T02:57:47" u="1"/>
        <d v="2025-06-30T02:57:55" u="1"/>
        <d v="2025-06-30T03:00:50" u="1"/>
        <d v="2025-06-30T03:02:44" u="1"/>
        <d v="2025-06-30T03:09:42" u="1"/>
        <d v="2025-06-30T03:11:32" u="1"/>
        <d v="2025-06-30T03:16:36" u="1"/>
        <d v="2025-06-30T03:20:34" u="1"/>
        <d v="2025-06-30T03:22:06" u="1"/>
        <d v="2025-06-30T03:24:59" u="1"/>
        <d v="2025-06-30T03:34:24" u="1"/>
        <d v="2025-06-30T04:50:32" u="1"/>
        <d v="2025-06-30T05:09:46" u="1"/>
        <d v="2025-06-30T05:16:31" u="1"/>
        <d v="2025-06-30T07:03:11" u="1"/>
        <d v="2025-06-30T07:21:32" u="1"/>
        <d v="2025-06-30T08:32:43" u="1"/>
        <d v="2025-06-30T08:54:43" u="1"/>
        <d v="2025-06-30T09:15:59" u="1"/>
        <d v="2025-06-30T09:16:23" u="1"/>
        <d v="2025-06-30T09:20:35" u="1"/>
        <d v="2025-06-30T09:50:25" u="1"/>
        <d v="2025-06-30T10:01:36" u="1"/>
        <d v="2025-06-30T10:25:11" u="1"/>
        <d v="2025-06-30T10:45:17" u="1"/>
        <d v="2025-06-30T10:47:43" u="1"/>
        <d v="2025-06-30T12:01:15" u="1"/>
        <d v="2025-06-30T14:46:16" u="1"/>
        <d v="2025-06-30T15:59:43" u="1"/>
        <d v="2025-06-30T16:00:03" u="1"/>
        <d v="2025-06-30T16:00:24" u="1"/>
        <d v="2025-06-30T16:00:30" u="1"/>
        <d v="2025-06-30T16:00:40" u="1"/>
        <d v="2025-06-30T16:04:00" u="1"/>
        <d v="2025-06-30T23:19:23" u="1"/>
        <d v="2025-07-01T00:03:47" u="1"/>
        <d v="2025-07-01T00:33:46" u="1"/>
        <d v="2025-07-01T00:43:30" u="1"/>
        <d v="2025-07-01T01:08:07" u="1"/>
        <d v="2025-07-01T01:38:01" u="1"/>
        <d v="2025-07-01T01:51:23" u="1"/>
        <d v="2025-07-01T02:44:14" u="1"/>
        <d v="2025-07-01T02:48:22" u="1"/>
        <d v="2025-07-01T02:53:39" u="1"/>
        <d v="2025-07-01T03:15:12" u="1"/>
        <d v="2025-07-01T03:18:14" u="1"/>
        <d v="2025-07-01T03:23:43" u="1"/>
        <d v="2025-07-01T03:28:51" u="1"/>
        <d v="2025-07-01T03:30:41" u="1"/>
        <d v="2025-07-01T03:50:17" u="1"/>
        <d v="2025-07-01T04:48:38" u="1"/>
        <d v="2025-07-01T05:04:16" u="1"/>
        <d v="2025-07-01T05:07:16" u="1"/>
        <d v="2025-07-01T05:24:14" u="1"/>
        <d v="2025-07-01T05:49:03" u="1"/>
        <d v="2025-07-01T05:50:39" u="1"/>
        <d v="2025-07-01T06:10:33" u="1"/>
        <d v="2025-07-01T06:47:10" u="1"/>
        <d v="2025-07-01T06:48:17" u="1"/>
        <d v="2025-07-01T06:56:37" u="1"/>
        <d v="2025-07-01T07:16:32" u="1"/>
        <d v="2025-07-01T07:21:34" u="1"/>
        <d v="2025-07-01T07:42:56" u="1"/>
        <d v="2025-07-01T08:29:40" u="1"/>
        <d v="2025-07-01T12:21:26" u="1"/>
        <d v="2025-07-01T12:32:25" u="1"/>
        <d v="2025-07-01T12:52:34" u="1"/>
        <d v="2025-07-01T13:15:46" u="1"/>
        <d v="2025-07-01T13:19:19" u="1"/>
        <d v="2025-07-01T13:21:59" u="1"/>
        <d v="2025-07-01T15:33:43" u="1"/>
        <d v="2025-07-01T19:00:36" u="1"/>
        <d v="2025-07-01T19:15:42" u="1"/>
        <d v="2025-07-01T19:16:44" u="1"/>
        <d v="2025-07-01T21:05:49" u="1"/>
        <d v="2025-07-01T21:55:47" u="1"/>
        <d v="2025-07-01T21:57:35" u="1"/>
        <d v="2025-07-01T23:34:59" u="1"/>
        <d v="2025-07-01T23:41:03" u="1"/>
        <d v="2025-07-01T23:43:08" u="1"/>
        <d v="2025-07-02T00:18:23" u="1"/>
        <d v="2025-07-02T00:44:38" u="1"/>
        <d v="2025-07-02T01:13:56" u="1"/>
        <d v="2025-07-02T01:14:08" u="1"/>
        <d v="2025-07-02T01:21:17" u="1"/>
        <d v="2025-07-02T01:27:31" u="1"/>
        <d v="2025-07-02T01:34:47" u="1"/>
        <d v="2025-07-02T01:37:53" u="1"/>
        <d v="2025-07-02T01:59:38" u="1"/>
        <d v="2025-07-02T02:00:26" u="1"/>
        <d v="2025-07-02T02:06:34" u="1"/>
        <d v="2025-07-02T02:16:20" u="1"/>
        <d v="2025-07-02T02:47:25" u="1"/>
        <d v="2025-07-02T02:48:05" u="1"/>
        <d v="2025-07-02T02:55:47" u="1"/>
        <d v="2025-07-02T02:59:43" u="1"/>
        <d v="2025-07-02T03:05:51" u="1"/>
        <d v="2025-07-02T03:30:03" u="1"/>
        <d v="2025-07-02T04:04:56" u="1"/>
        <d v="2025-07-02T04:16:39" u="1"/>
        <d v="2025-07-02T04:19:52" u="1"/>
        <d v="2025-07-02T04:31:42" u="1"/>
        <d v="2025-07-02T04:36:17" u="1"/>
        <d v="2025-07-02T04:57:52" u="1"/>
        <d v="2025-07-02T05:05:26" u="1"/>
        <d v="2025-07-02T05:09:03" u="1"/>
        <d v="2025-07-02T05:22:29" u="1"/>
        <d v="2025-07-02T05:30:53" u="1"/>
        <d v="2025-07-02T05:42:27" u="1"/>
        <d v="2025-07-02T05:44:22" u="1"/>
        <d v="2025-07-02T05:46:34" u="1"/>
        <d v="2025-07-02T06:21:15" u="1"/>
        <d v="2025-07-02T06:32:48" u="1"/>
        <d v="2025-07-02T06:34:43" u="1"/>
        <d v="2025-07-02T06:52:52" u="1"/>
        <d v="2025-07-02T07:01:59" u="1"/>
        <d v="2025-07-02T07:12:07" u="1"/>
        <d v="2025-07-02T07:14:39" u="1"/>
        <d v="2025-07-02T07:17:45" u="1"/>
        <d v="2025-07-02T07:51:45" u="1"/>
        <d v="2025-07-02T09:11:07" u="1"/>
        <d v="2025-07-02T09:52:00" u="1"/>
        <d v="2025-07-02T11:36:08" u="1"/>
        <d v="2025-07-02T11:40:27" u="1"/>
        <d v="2025-07-02T12:22:41" u="1"/>
        <d v="2025-07-02T13:50:29" u="1"/>
        <d v="2025-07-02T14:00:07" u="1"/>
        <d v="2025-07-02T14:20:41" u="1"/>
        <d v="2025-07-02T19:40:09" u="1"/>
        <d v="2025-07-02T20:22:04" u="1"/>
        <d v="2025-07-02T20:42:46" u="1"/>
        <d v="2025-07-02T22:16:49" u="1"/>
        <d v="2025-07-02T22:36:32" u="1"/>
        <d v="2025-07-02T22:37:42" u="1"/>
        <d v="2025-07-02T22:48:24" u="1"/>
        <d v="2025-07-02T23:03:59" u="1"/>
        <d v="2025-07-03T00:23:04" u="1"/>
        <d v="2025-07-03T00:28:17" u="1"/>
        <d v="2025-07-03T00:52:44" u="1"/>
        <d v="2025-07-03T01:15:10" u="1"/>
        <d v="2025-07-03T01:15:48" u="1"/>
        <d v="2025-07-03T01:17:03" u="1"/>
        <d v="2025-07-03T01:30:54" u="1"/>
        <d v="2025-07-03T02:23:45" u="1"/>
        <d v="2025-07-03T02:34:50" u="1"/>
        <d v="2025-07-03T02:38:14" u="1"/>
        <d v="2025-07-03T02:55:22" u="1"/>
        <d v="2025-07-03T02:55:35" u="1"/>
        <d v="2025-07-03T03:39:29" u="1"/>
        <d v="2025-07-03T03:42:05" u="1"/>
        <d v="2025-07-03T03:50:11" u="1"/>
        <d v="2025-07-03T04:23:10" u="1"/>
        <d v="2025-07-03T04:37:49" u="1"/>
        <d v="2025-07-03T04:43:22" u="1"/>
        <d v="2025-07-03T05:09:49" u="1"/>
        <d v="2025-07-03T05:15:52" u="1"/>
        <d v="2025-07-03T05:34:33" u="1"/>
        <d v="2025-07-03T05:46:56" u="1"/>
        <d v="2025-07-03T05:52:49" u="1"/>
        <d v="2025-07-03T06:01:29" u="1"/>
        <d v="2025-07-03T06:02:33" u="1"/>
        <d v="2025-07-03T06:04:25" u="1"/>
        <d v="2025-07-03T06:25:19" u="1"/>
        <d v="2025-07-03T06:25:54" u="1"/>
        <d v="2025-07-03T06:28:12" u="1"/>
        <d v="2025-07-03T06:45:10" u="1"/>
        <d v="2025-07-03T06:47:00" u="1"/>
        <d v="2025-07-03T06:50:52" u="1"/>
        <d v="2025-07-03T07:00:26" u="1"/>
        <d v="2025-07-03T07:14:12" u="1"/>
        <d v="2025-07-03T07:15:40" u="1"/>
        <d v="2025-07-03T07:29:08" u="1"/>
        <d v="2025-07-03T07:32:08" u="1"/>
        <d v="2025-07-03T07:41:53" u="1"/>
        <d v="2025-07-03T07:57:13" u="1"/>
        <d v="2025-07-03T08:05:28" u="1"/>
        <d v="2025-07-03T08:12:08" u="1"/>
        <d v="2025-07-03T08:23:08" u="1"/>
        <d v="2025-07-03T08:31:27" u="1"/>
        <d v="2025-07-03T08:37:14" u="1"/>
        <d v="2025-07-03T09:22:05" u="1"/>
        <d v="2025-07-03T09:44:33" u="1"/>
        <d v="2025-07-03T10:26:37" u="1"/>
        <d v="2025-07-03T10:37:01" u="1"/>
        <d v="2025-07-03T10:46:16" u="1"/>
        <d v="2025-07-03T11:08:01" u="1"/>
        <d v="2025-07-03T11:57:52" u="1"/>
        <d v="2025-07-03T12:00:14" u="1"/>
        <d v="2025-07-03T12:02:16" u="1"/>
        <d v="2025-07-03T22:11:17" u="1"/>
        <d v="2025-07-03T22:13:42" u="1"/>
        <d v="2025-07-03T22:41:11" u="1"/>
        <d v="2025-07-03T22:54:17" u="1"/>
        <d v="2025-07-03T23:16:50" u="1"/>
        <d v="2025-07-03T23:29:47" u="1"/>
        <d v="2025-07-03T23:30:49" u="1"/>
        <d v="2025-07-03T23:51:11" u="1"/>
        <d v="2025-07-04T00:00:24" u="1"/>
        <d v="2025-07-04T00:41:49" u="1"/>
        <d v="2025-07-04T01:24:51" u="1"/>
        <d v="2025-07-04T01:31:33" u="1"/>
        <d v="2025-07-04T01:54:01" u="1"/>
        <d v="2025-07-04T01:55:36" u="1"/>
        <d v="2025-07-04T01:55:43" u="1"/>
        <d v="2025-07-04T02:05:07" u="1"/>
        <d v="2025-07-04T02:13:16" u="1"/>
        <d v="2025-07-04T02:27:21" u="1"/>
        <d v="2025-07-04T02:35:35" u="1"/>
        <d v="2025-07-04T02:42:31" u="1"/>
        <d v="2025-07-04T03:13:18" u="1"/>
        <d v="2025-07-04T03:26:03" u="1"/>
        <d v="2025-07-04T03:34:54" u="1"/>
        <d v="2025-07-04T03:44:02" u="1"/>
        <d v="2025-07-04T03:52:29" u="1"/>
        <d v="2025-07-04T04:04:50" u="1"/>
        <d v="2025-07-04T04:46:35" u="1"/>
        <d v="2025-07-04T05:08:43" u="1"/>
        <d v="2025-07-04T05:18:39" u="1"/>
        <d v="2025-07-04T05:19:48" u="1"/>
        <d v="2025-07-04T05:51:28" u="1"/>
        <d v="2025-07-04T06:18:21" u="1"/>
        <d v="2025-07-04T06:34:27" u="1"/>
        <d v="2025-07-04T06:54:52" u="1"/>
        <d v="2025-07-04T06:56:10" u="1"/>
        <d v="2025-07-04T07:25:47" u="1"/>
        <d v="2025-07-04T08:15:40" u="1"/>
        <d v="2025-07-04T08:50:06" u="1"/>
        <d v="2025-07-04T08:57:46" u="1"/>
        <d v="2025-07-04T09:01:40" u="1"/>
        <d v="2025-07-04T10:16:53" u="1"/>
        <d v="2025-07-04T12:06:36" u="1"/>
        <d v="2025-07-04T14:31:23" u="1"/>
        <d v="2025-07-04T17:53:41" u="1"/>
        <d v="2025-07-04T17:55:20" u="1"/>
        <d v="2025-07-04T18:27:14" u="1"/>
        <d v="2025-07-04T19:56:21" u="1"/>
        <d v="2025-07-04T20:24:05" u="1"/>
        <d v="2025-07-04T22:46:41" u="1"/>
        <d v="2025-07-04T23:42:59" u="1"/>
        <d v="2025-07-05T00:27:43" u="1"/>
        <d v="2025-07-05T01:06:54" u="1"/>
        <d v="2025-07-05T01:40:19" u="1"/>
        <d v="2025-07-05T01:43:47" u="1"/>
        <d v="2025-07-05T01:43:58" u="1"/>
        <d v="2025-07-05T01:45:56" u="1"/>
        <d v="2025-07-05T02:29:01" u="1"/>
        <d v="2025-07-05T03:12:56" u="1"/>
        <d v="2025-07-05T04:05:40" u="1"/>
        <d v="2025-07-05T04:16:33" u="1"/>
        <d v="2025-07-05T04:34:41" u="1"/>
        <d v="2025-07-05T05:38:26" u="1"/>
        <d v="2025-07-05T06:46:34" u="1"/>
        <d v="2025-07-05T06:49:08" u="1"/>
        <d v="2025-07-05T06:52:59" u="1"/>
        <d v="2025-07-05T08:18:39" u="1"/>
        <d v="2025-07-05T08:37:03" u="1"/>
        <d v="2025-07-05T09:38:16" u="1"/>
        <d v="2025-07-05T09:48:08" u="1"/>
        <d v="2025-07-05T09:51:43" u="1"/>
        <d v="2025-07-05T12:00:26" u="1"/>
        <d v="2025-07-05T16:31:59" u="1"/>
        <d v="2025-07-05T21:47:57" u="1"/>
        <d v="2025-07-05T22:23:20" u="1"/>
        <d v="2025-07-05T22:39:02" u="1"/>
        <d v="2025-07-05T22:41:00" u="1"/>
        <d v="2025-07-05T22:42:14" u="1"/>
        <d v="2025-07-05T23:24:07" u="1"/>
        <d v="2025-07-05T23:25:35" u="1"/>
        <d v="2025-07-05T23:43:14" u="1"/>
        <d v="2025-07-06T00:00:30" u="1"/>
        <d v="2025-07-06T00:26:11" u="1"/>
        <d v="2025-07-06T00:38:43" u="1"/>
        <d v="2025-07-06T02:23:27" u="1"/>
        <d v="2025-07-06T02:37:42" u="1"/>
        <d v="2025-07-06T02:47:02" u="1"/>
        <d v="2025-07-06T02:51:29" u="1"/>
        <d v="2025-07-06T04:42:13" u="1"/>
        <d v="2025-07-06T04:49:39" u="1"/>
        <d v="2025-07-06T06:04:34" u="1"/>
        <d v="2025-07-06T11:10:31" u="1"/>
        <d v="2025-07-06T11:59:49" u="1"/>
        <d v="2025-07-06T12:00:18" u="1"/>
        <d v="2025-07-06T20:10:21" u="1"/>
        <d v="2025-07-06T22:02:04" u="1"/>
        <d v="2025-07-06T22:08:53" u="1"/>
        <d v="2025-07-06T22:30:29" u="1"/>
        <d v="2025-07-06T23:01:48" u="1"/>
        <d v="2025-07-06T23:04:51" u="1"/>
        <d v="2025-07-06T23:13:23" u="1"/>
        <d v="2025-07-06T23:15:53" u="1"/>
        <d v="2025-07-06T23:17:29" u="1"/>
        <d v="2025-07-07T00:05:27" u="1"/>
        <d v="2025-07-07T00:08:08" u="1"/>
        <d v="2025-07-07T00:50:36" u="1"/>
        <d v="2025-07-07T01:01:57" u="1"/>
        <d v="2025-07-07T01:10:46" u="1"/>
        <d v="2025-07-07T01:29:22" u="1"/>
        <d v="2025-07-07T01:50:01" u="1"/>
        <d v="2025-07-07T01:54:21" u="1"/>
        <d v="2025-07-07T02:02:51" u="1"/>
        <d v="2025-07-07T02:34:15" u="1"/>
        <d v="2025-07-07T02:39:03" u="1"/>
        <d v="2025-07-07T03:03:08" u="1"/>
        <d v="2025-07-07T03:04:17" u="1"/>
        <d v="2025-07-07T03:20:58" u="1"/>
        <d v="2025-07-07T03:34:48" u="1"/>
        <d v="2025-07-07T04:23:15" u="1"/>
        <d v="2025-07-07T05:27:16" u="1"/>
        <d v="2025-07-07T05:28:39" u="1"/>
        <d v="2025-07-07T05:31:57" u="1"/>
        <d v="2025-07-07T05:37:07" u="1"/>
        <d v="2025-07-07T05:46:16" u="1"/>
        <d v="2025-07-07T06:12:22" u="1"/>
        <d v="2025-07-07T06:47:32" u="1"/>
        <d v="2025-07-07T07:05:39" u="1"/>
        <d v="2025-07-07T07:41:23" u="1"/>
        <d v="2025-07-07T10:22:33" u="1"/>
        <d v="2025-07-07T10:45:18" u="1"/>
        <d v="2025-07-07T10:47:43" u="1"/>
        <d v="2025-07-07T10:54:01" u="1"/>
        <d v="2025-07-07T11:17:24" u="1"/>
        <d v="2025-07-07T11:21:55" u="1"/>
        <d v="2025-07-07T11:22:38" u="1"/>
        <d v="2025-07-07T11:25:06" u="1"/>
        <d v="2025-07-07T12:38:29" u="1"/>
        <d v="2025-07-07T13:00:30" u="1"/>
        <d v="2025-07-07T13:31:40" u="1"/>
        <d v="2025-07-07T21:02:40" u="1"/>
        <d v="2025-07-07T22:13:21" u="1"/>
        <d v="2025-07-07T22:45:39" u="1"/>
        <d v="2025-07-07T23:01:46" u="1"/>
        <d v="2025-07-07T23:03:06" u="1"/>
        <d v="2025-07-07T23:36:53" u="1"/>
        <d v="2025-07-07T23:44:41" u="1"/>
        <d v="2025-07-07T23:47:56" u="1"/>
        <d v="2025-07-07T23:48:07" u="1"/>
        <d v="2025-07-08T00:00:09" u="1"/>
        <d v="2025-07-08T00:01:51" u="1"/>
        <d v="2025-07-08T00:56:08" u="1"/>
        <d v="2025-07-08T01:09:26" u="1"/>
        <d v="2025-07-08T01:21:17" u="1"/>
        <d v="2025-07-08T01:29:57" u="1"/>
        <d v="2025-07-08T02:42:24" u="1"/>
        <d v="2025-07-08T02:46:45" u="1"/>
        <d v="2025-07-08T02:51:33" u="1"/>
        <d v="2025-07-08T03:01:02" u="1"/>
        <d v="2025-07-08T03:07:26" u="1"/>
        <d v="2025-07-08T04:09:44" u="1"/>
        <d v="2025-07-08T04:19:10" u="1"/>
        <d v="2025-07-08T04:25:08" u="1"/>
        <d v="2025-07-08T04:25:22" u="1"/>
        <d v="2025-07-08T04:37:11" u="1"/>
        <d v="2025-07-08T05:43:15" u="1"/>
        <d v="2025-07-08T05:44:53" u="1"/>
        <d v="2025-07-08T05:50:23" u="1"/>
        <d v="2025-07-08T06:23:30" u="1"/>
        <d v="2025-07-08T06:46:29" u="1"/>
        <d v="2025-07-08T06:56:31" u="1"/>
        <d v="2025-07-08T07:03:16" u="1"/>
        <d v="2025-07-08T07:22:13" u="1"/>
        <d v="2025-07-08T07:22:17" u="1"/>
        <d v="2025-07-08T07:49:54" u="1"/>
        <d v="2025-07-08T07:54:57" u="1"/>
        <d v="2025-07-08T07:56:12" u="1"/>
        <d v="2025-07-08T08:07:56" u="1"/>
        <d v="2025-07-08T08:09:16" u="1"/>
        <d v="2025-07-08T08:37:32" u="1"/>
        <d v="2025-07-08T11:07:43" u="1"/>
        <d v="2025-07-08T11:38:59" u="1"/>
        <d v="2025-07-08T11:59:22" u="1"/>
        <d v="2025-07-08T12:15:31" u="1"/>
        <d v="2025-07-08T12:40:34" u="1"/>
        <d v="2025-07-08T12:52:29" u="1"/>
        <d v="2025-07-08T13:20:30" u="1"/>
        <d v="2025-07-08T13:55:11" u="1"/>
        <d v="2025-07-08T20:39:50" u="1"/>
        <d v="2025-07-08T22:50:32" u="1"/>
        <d v="2025-07-08T22:51:07" u="1"/>
        <d v="2025-07-08T23:01:16" u="1"/>
        <d v="2025-07-08T23:07:55" u="1"/>
        <d v="2025-07-08T23:20:38" u="1"/>
        <d v="2025-07-09T00:09:49" u="1"/>
        <d v="2025-07-09T00:27:39" u="1"/>
        <d v="2025-07-09T01:10:45" u="1"/>
        <d v="2025-07-09T01:46:47" u="1"/>
        <d v="2025-07-09T01:48:08" u="1"/>
        <d v="2025-07-09T02:09:23" u="1"/>
        <d v="2025-07-09T02:36:34" u="1"/>
        <d v="2025-07-09T02:40:12" u="1"/>
        <d v="2025-07-09T02:42:19" u="1"/>
        <d v="2025-07-09T02:42:40" u="1"/>
        <d v="2025-07-09T02:44:14" u="1"/>
        <d v="2025-07-09T02:47:31" u="1"/>
        <d v="2025-07-09T02:58:00" u="1"/>
        <d v="2025-07-09T03:00:34" u="1"/>
        <d v="2025-07-09T03:01:37" u="1"/>
        <d v="2025-07-09T03:03:41" u="1"/>
        <d v="2025-07-09T03:06:11" u="1"/>
        <d v="2025-07-09T03:20:18" u="1"/>
        <d v="2025-07-09T03:21:09" u="1"/>
        <d v="2025-07-09T03:25:46" u="1"/>
        <d v="2025-07-09T03:28:06" u="1"/>
        <d v="2025-07-09T03:29:53" u="1"/>
        <d v="2025-07-09T03:29:59" u="1"/>
        <d v="2025-07-09T03:30:13" u="1"/>
        <d v="2025-07-09T03:39:26" u="1"/>
        <d v="2025-07-09T03:46:53" u="1"/>
        <d v="2025-07-09T04:04:23" u="1"/>
        <d v="2025-07-09T04:04:45" u="1"/>
        <d v="2025-07-09T04:09:14" u="1"/>
        <d v="2025-07-09T04:10:02" u="1"/>
        <d v="2025-07-09T04:30:40" u="1"/>
        <d v="2025-07-09T04:42:43" u="1"/>
        <d v="2025-07-09T04:46:51" u="1"/>
        <d v="2025-07-09T04:48:33" u="1"/>
        <d v="2025-07-09T04:52:31" u="1"/>
        <d v="2025-07-09T05:12:06" u="1"/>
        <d v="2025-07-09T05:37:48" u="1"/>
        <d v="2025-07-09T05:43:10" u="1"/>
        <d v="2025-07-09T05:51:06" u="1"/>
        <d v="2025-07-09T05:58:53" u="1"/>
        <d v="2025-07-09T06:18:58" u="1"/>
        <d v="2025-07-09T06:20:16" u="1"/>
        <d v="2025-07-09T06:20:25" u="1"/>
        <d v="2025-07-09T06:46:23" u="1"/>
        <d v="2025-07-09T07:11:18" u="1"/>
        <d v="2025-07-09T07:28:40" u="1"/>
        <d v="2025-07-09T07:34:58" u="1"/>
        <d v="2025-07-09T07:43:33" u="1"/>
        <d v="2025-07-09T09:22:36" u="1"/>
        <d v="2025-07-09T12:52:49" u="1"/>
        <d v="2025-07-09T13:11:39" u="1"/>
        <d v="2025-07-09T15:47:39" u="1"/>
        <d v="2025-07-09T18:34:49" u="1"/>
        <d v="2025-07-09T21:36:24" u="1"/>
        <d v="2025-07-09T22:42:38" u="1"/>
        <d v="2025-07-09T23:15:57" u="1"/>
        <d v="2025-07-09T23:29:01" u="1"/>
        <d v="2025-07-09T23:29:06" u="1"/>
        <d v="2025-07-09T23:46:59" u="1"/>
        <d v="2025-07-09T23:53:30" u="1"/>
        <d v="2025-07-10T00:00:04" u="1"/>
        <d v="2025-07-10T00:11:54" u="1"/>
        <d v="2025-07-10T00:14:50" u="1"/>
        <d v="2025-07-10T00:30:32" u="1"/>
        <d v="2025-07-10T00:31:21" u="1"/>
        <d v="2025-07-10T01:30:14" u="1"/>
        <d v="2025-07-10T02:00:03" u="1"/>
        <d v="2025-07-10T02:08:28" u="1"/>
        <d v="2025-07-10T02:22:25" u="1"/>
        <d v="2025-07-10T02:27:41" u="1"/>
        <d v="2025-07-10T03:09:48" u="1"/>
        <d v="2025-07-10T03:15:48" u="1"/>
        <d v="2025-07-10T03:22:43" u="1"/>
        <d v="2025-07-10T03:23:12" u="1"/>
        <d v="2025-07-10T03:30:20" u="1"/>
        <d v="2025-07-10T03:31:53" u="1"/>
        <d v="2025-07-10T04:04:30" u="1"/>
        <d v="2025-07-10T04:05:18" u="1"/>
        <d v="2025-07-10T04:08:31" u="1"/>
        <d v="2025-07-10T04:25:20" u="1"/>
        <d v="2025-07-10T04:40:52" u="1"/>
        <d v="2025-07-10T05:22:08" u="1"/>
        <d v="2025-07-10T05:24:31" u="1"/>
        <d v="2025-07-10T05:24:40" u="1"/>
        <d v="2025-07-10T05:24:49" u="1"/>
        <d v="2025-07-10T05:27:15" u="1"/>
        <d v="2025-07-10T05:28:16" u="1"/>
        <d v="2025-07-10T05:29:03" u="1"/>
        <d v="2025-07-10T05:30:06" u="1"/>
        <d v="2025-07-10T05:30:43" u="1"/>
        <d v="2025-07-10T05:31:43" u="1"/>
        <d v="2025-07-10T05:32:10" u="1"/>
        <d v="2025-07-10T05:32:41" u="1"/>
        <d v="2025-07-10T05:33:47" u="1"/>
        <d v="2025-07-10T05:35:52" u="1"/>
        <d v="2025-07-10T05:52:16" u="1"/>
        <d v="2025-07-10T05:56:38" u="1"/>
        <d v="2025-07-10T06:00:30" u="1"/>
        <d v="2025-07-10T06:00:59" u="1"/>
        <d v="2025-07-10T06:01:31" u="1"/>
        <d v="2025-07-10T06:01:59" u="1"/>
        <d v="2025-07-10T06:02:31" u="1"/>
        <d v="2025-07-10T06:02:42" u="1"/>
        <d v="2025-07-10T06:03:13" u="1"/>
        <d v="2025-07-10T06:04:22" u="1"/>
        <d v="2025-07-10T06:04:54" u="1"/>
        <d v="2025-07-10T06:05:34" u="1"/>
        <d v="2025-07-10T06:07:19" u="1"/>
        <d v="2025-07-10T06:09:56" u="1"/>
        <d v="2025-07-10T06:40:11" u="1"/>
        <d v="2025-07-10T06:47:43" u="1"/>
        <d v="2025-07-10T07:02:10" u="1"/>
        <d v="2025-07-10T07:03:27" u="1"/>
        <d v="2025-07-10T07:15:12" u="1"/>
        <d v="2025-07-10T07:16:41" u="1"/>
        <d v="2025-07-10T07:52:09" u="1"/>
        <d v="2025-07-10T08:00:44" u="1"/>
        <d v="2025-07-10T08:28:48" u="1"/>
        <d v="2025-07-10T08:29:09" u="1"/>
        <d v="2025-07-10T08:45:36" u="1"/>
        <d v="2025-07-10T08:54:48" u="1"/>
        <d v="2025-07-10T09:09:00" u="1"/>
        <d v="2025-07-10T09:22:24" u="1"/>
        <d v="2025-07-10T09:39:47" u="1"/>
        <d v="2025-07-10T09:41:01" u="1"/>
        <d v="2025-07-10T11:01:17" u="1"/>
        <d v="2025-07-10T11:26:15" u="1"/>
        <d v="2025-07-10T12:22:43" u="1"/>
        <d v="2025-07-10T13:16:43" u="1"/>
        <d v="2025-07-10T13:33:55" u="1"/>
        <d v="2025-07-10T14:20:23" u="1"/>
        <d v="2025-07-10T14:21:56" u="1"/>
        <d v="2025-07-10T14:52:35" u="1"/>
        <d v="2025-07-10T15:00:20" u="1"/>
        <d v="2025-07-10T15:18:38" u="1"/>
        <d v="2025-07-10T16:43:36" u="1"/>
        <d v="2025-07-10T16:48:58" u="1"/>
        <d v="2025-07-10T17:23:43" u="1"/>
        <d v="2025-07-10T17:24:34" u="1"/>
        <d v="2025-07-10T17:25:27" u="1"/>
        <d v="2025-07-10T17:27:29" u="1"/>
        <d v="2025-07-10T18:00:55" u="1"/>
        <d v="2025-07-10T18:11:13" u="1"/>
        <d v="2025-07-10T18:15:04" u="1"/>
        <d v="2025-07-10T19:01:18" u="1"/>
        <d v="2025-07-10T19:11:41" u="1"/>
        <d v="2025-07-10T20:11:30" u="1"/>
        <d v="2025-07-10T21:13:38" u="1"/>
        <d v="2025-07-10T21:44:53" u="1"/>
        <d v="2025-07-10T21:47:22" u="1"/>
        <d v="2025-07-10T22:29:37" u="1"/>
        <d v="2025-07-10T22:33:22" u="1"/>
        <d v="2025-07-10T22:36:08" u="1"/>
        <d v="2025-07-10T22:36:39" u="1"/>
        <d v="2025-07-10T22:53:33" u="1"/>
        <d v="2025-07-10T23:01:44" u="1"/>
        <d v="2025-07-10T23:37:13" u="1"/>
        <d v="2025-07-10T23:40:17" u="1"/>
        <d v="2025-07-10T23:40:49" u="1"/>
        <d v="2025-07-11T00:07:27" u="1"/>
        <d v="2025-07-11T00:10:22" u="1"/>
        <d v="2025-07-11T00:18:17" u="1"/>
        <d v="2025-07-11T00:41:59" u="1"/>
        <d v="2025-07-11T00:51:23" u="1"/>
        <d v="2025-07-11T00:52:04" u="1"/>
        <d v="2025-07-11T01:00:28" u="1"/>
        <d v="2025-07-11T01:15:18" u="1"/>
        <d v="2025-07-11T01:54:39" u="1"/>
        <d v="2025-07-11T01:57:29" u="1"/>
        <d v="2025-07-11T01:59:56" u="1"/>
        <d v="2025-07-11T02:00:36" u="1"/>
        <d v="2025-07-11T02:06:20" u="1"/>
        <d v="2025-07-11T02:18:02" u="1"/>
        <d v="2025-07-11T02:28:49" u="1"/>
        <d v="2025-07-11T02:40:27" u="1"/>
        <d v="2025-07-11T02:56:57" u="1"/>
        <d v="2025-07-11T03:02:54" u="1"/>
        <d v="2025-07-11T03:06:58" u="1"/>
        <d v="2025-07-11T03:33:35" u="1"/>
        <d v="2025-07-11T03:33:58" u="1"/>
        <d v="2025-07-11T04:02:24" u="1"/>
        <d v="2025-07-11T04:27:52" u="1"/>
        <d v="2025-07-11T04:43:11" u="1"/>
        <d v="2025-07-11T05:44:14" u="1"/>
        <d v="2025-07-11T05:45:46" u="1"/>
        <d v="2025-07-11T05:46:45" u="1"/>
        <d v="2025-07-11T05:55:53" u="1"/>
        <d v="2025-07-11T06:00:16" u="1"/>
        <d v="2025-07-11T06:06:18" u="1"/>
        <d v="2025-07-11T06:37:35" u="1"/>
        <d v="2025-07-11T07:55:03" u="1"/>
        <d v="2025-07-11T09:02:12" u="1"/>
        <d v="2025-07-11T11:29:50" u="1"/>
        <d v="2025-07-11T11:43:14" u="1"/>
        <d v="2025-07-11T18:21:22" u="1"/>
        <d v="2025-07-11T22:00:48" u="1"/>
        <d v="2025-07-11T22:41:35" u="1"/>
        <d v="2025-07-11T23:25:02" u="1"/>
        <d v="2025-07-11T23:26:32" u="1"/>
        <d v="2025-07-11T23:34:15" u="1"/>
        <d v="2025-07-11T23:43:46" u="1"/>
        <d v="2025-07-12T00:58:01" u="1"/>
        <d v="2025-07-12T02:16:03" u="1"/>
        <d v="2025-07-12T02:19:59" u="1"/>
        <d v="2025-07-12T02:24:26" u="1"/>
        <d v="2025-07-12T02:52:08" u="1"/>
        <d v="2025-07-12T02:59:14" u="1"/>
        <d v="2025-07-12T03:00:24" u="1"/>
        <d v="2025-07-12T03:49:09" u="1"/>
        <d v="2025-07-12T03:52:12" u="1"/>
        <d v="2025-07-12T04:28:57" u="1"/>
        <d v="2025-07-12T04:52:59" u="1"/>
        <d v="2025-07-12T04:54:58" u="1"/>
        <d v="2025-07-12T05:10:19" u="1"/>
        <d v="2025-07-12T05:11:08" u="1"/>
        <d v="2025-07-12T05:14:46" u="1"/>
        <d v="2025-07-12T05:26:58" u="1"/>
        <d v="2025-07-12T05:35:24" u="1"/>
        <d v="2025-07-12T06:21:57" u="1"/>
        <d v="2025-07-12T06:35:00" u="1"/>
        <d v="2025-07-12T08:39:28" u="1"/>
        <d v="2025-07-12T08:40:28" u="1"/>
        <d v="2025-07-12T08:40:46" u="1"/>
        <d v="2025-07-12T08:41:52" u="1"/>
        <d v="2025-07-12T10:37:58" u="1"/>
        <d v="2025-07-12T10:55:37" u="1"/>
        <d v="2025-07-12T11:01:34" u="1"/>
        <d v="2025-07-12T13:33:11" u="1"/>
        <d v="2025-07-12T22:19:07" u="1"/>
        <d v="2025-07-13T00:00:26" u="1"/>
        <d v="2025-07-13T01:18:56" u="1"/>
        <d v="2025-07-13T01:51:35" u="1"/>
        <d v="2025-07-13T03:52:57" u="1"/>
        <d v="2025-07-13T04:13:08" u="1"/>
        <d v="2025-07-13T15:59:29" u="1"/>
        <d v="2025-07-13T16:01:01" u="1"/>
        <d v="2025-07-13T16:20:33" u="1"/>
        <d v="2025-07-13T16:31:10" u="1"/>
        <d v="2025-07-13T19:50:33" u="1"/>
        <d v="2025-07-13T21:04:01" u="1"/>
        <d v="2025-07-14T00:43:19" u="1"/>
        <d v="2025-07-14T00:44:22" u="1"/>
        <d v="2025-07-14T01:27:33" u="1"/>
        <d v="2025-07-14T02:48:13" u="1"/>
        <d v="2025-07-14T04:29:31" u="1"/>
        <d v="2025-07-14T04:32:19" u="1"/>
        <d v="2025-07-14T04:39:23" u="1"/>
        <d v="2025-07-14T04:39:44" u="1"/>
        <d v="2025-07-14T11:01:07" u="1"/>
        <d v="2025-07-14T12:05:49" u="1"/>
        <d v="2025-07-14T22:32:08" u="1"/>
        <d v="2025-07-14T22:40:33" u="1"/>
        <d v="2025-07-14T23:11:22" u="1"/>
        <d v="2025-07-14T23:45:14" u="1"/>
        <d v="2025-07-14T23:50:51" u="1"/>
        <d v="2025-07-15T00:23:29" u="1"/>
        <d v="2025-07-15T01:06:09" u="1"/>
        <d v="2025-07-15T01:19:45" u="1"/>
        <d v="2025-07-15T01:23:40" u="1"/>
        <d v="2025-07-15T01:31:06" u="1"/>
        <d v="2025-07-15T02:22:15" u="1"/>
        <d v="2025-07-15T03:04:05" u="1"/>
        <d v="2025-07-15T03:15:21" u="1"/>
        <d v="2025-07-15T03:26:38" u="1"/>
        <d v="2025-07-15T03:31:38" u="1"/>
        <d v="2025-07-15T03:32:39" u="1"/>
        <d v="2025-07-15T04:08:23" u="1"/>
        <d v="2025-07-15T04:39:54" u="1"/>
        <d v="2025-07-15T04:51:35" u="1"/>
        <d v="2025-07-15T04:53:58" u="1"/>
        <d v="2025-07-15T05:01:20" u="1"/>
        <d v="2025-07-15T05:34:06" u="1"/>
        <d v="2025-07-15T05:35:01" u="1"/>
        <d v="2025-07-15T06:33:46" u="1"/>
        <d v="2025-07-15T07:11:25" u="1"/>
        <d v="2025-07-15T07:15:28" u="1"/>
        <d v="2025-07-15T07:22:44" u="1"/>
        <d v="2025-07-15T08:06:07" u="1"/>
        <d v="2025-07-15T08:07:53" u="1"/>
        <d v="2025-07-15T08:41:17" u="1"/>
        <d v="2025-07-15T08:59:02" u="1"/>
        <d v="2025-07-15T09:14:47" u="1"/>
        <d v="2025-07-15T09:51:40" u="1"/>
        <d v="2025-07-15T10:30:11" u="1"/>
        <d v="2025-07-15T10:30:22" u="1"/>
        <d v="2025-07-15T10:49:48" u="1"/>
        <d v="2025-07-15T10:52:27" u="1"/>
        <d v="2025-07-15T10:54:17" u="1"/>
        <d v="2025-07-15T11:33:47" u="1"/>
        <d v="2025-07-15T12:08:14" u="1"/>
        <d v="2025-07-15T13:50:03" u="1"/>
        <d v="2025-07-15T16:40:42" u="1"/>
        <d v="2025-07-15T21:59:32" u="1"/>
        <d v="2025-07-15T22:59:56" u="1"/>
        <d v="2025-07-15T23:00:35" u="1"/>
        <d v="2025-07-15T23:42:05" u="1"/>
        <d v="2025-07-16T01:12:00" u="1"/>
        <d v="2025-07-16T01:17:29" u="1"/>
        <d v="2025-07-16T01:25:15" u="1"/>
        <d v="2025-07-16T01:25:54" u="1"/>
        <d v="2025-07-16T01:26:14" u="1"/>
        <d v="2025-07-16T01:42:13" u="1"/>
        <d v="2025-07-16T01:45:54" u="1"/>
        <d v="2025-07-16T02:21:04" u="1"/>
        <d v="2025-07-16T02:34:36" u="1"/>
        <d v="2025-07-16T03:01:22" u="1"/>
        <d v="2025-07-16T03:32:02" u="1"/>
        <d v="2025-07-16T04:04:07" u="1"/>
        <d v="2025-07-16T04:26:33" u="1"/>
        <d v="2025-07-16T05:03:52" u="1"/>
        <d v="2025-07-16T05:27:51" u="1"/>
        <d v="2025-07-16T05:32:11" u="1"/>
        <d v="2025-07-16T06:09:24" u="1"/>
        <d v="2025-07-16T06:10:04" u="1"/>
        <d v="2025-07-16T06:10:19" u="1"/>
        <d v="2025-07-16T06:12:10" u="1"/>
        <d v="2025-07-16T06:27:05" u="1"/>
        <d v="2025-07-16T06:43:36" u="1"/>
        <d v="2025-07-16T07:23:31" u="1"/>
        <d v="2025-07-16T07:33:58" u="1"/>
        <d v="2025-07-16T07:46:51" u="1"/>
        <d v="2025-07-16T08:57:13" u="1"/>
        <d v="2025-07-16T09:00:26" u="1"/>
        <d v="2025-07-16T09:04:55" u="1"/>
        <d v="2025-07-16T09:18:17" u="1"/>
        <d v="2025-07-16T09:42:03" u="1"/>
        <d v="2025-07-16T10:16:09" u="1"/>
        <d v="2025-07-16T10:27:13" u="1"/>
        <d v="2025-07-16T11:08:14" u="1"/>
        <d v="2025-07-16T11:15:34" u="1"/>
        <d v="2025-07-16T11:35:21" u="1"/>
        <d v="2025-07-16T12:19:18" u="1"/>
        <d v="2025-07-16T12:44:06" u="1"/>
        <d v="2025-07-16T13:04:19" u="1"/>
        <d v="2025-07-16T13:04:34" u="1"/>
        <d v="2025-07-16T13:04:45" u="1"/>
        <d v="2025-07-16T14:12:07" u="1"/>
        <d v="2025-07-16T14:12:11" u="1"/>
        <d v="2025-07-16T14:12:34" u="1"/>
        <d v="2025-07-16T14:22:36" u="1"/>
        <d v="2025-07-16T16:29:04" u="1"/>
        <d v="2025-07-16T16:31:06" u="1"/>
        <d v="2025-07-16T21:13:59" u="1"/>
        <d v="2025-07-16T22:02:11" u="1"/>
        <d v="2025-07-16T22:13:46" u="1"/>
        <d v="2025-07-16T22:14:23" u="1"/>
        <d v="2025-07-16T22:18:39" u="1"/>
        <d v="2025-07-16T22:39:31" u="1"/>
        <d v="2025-07-16T22:43:28" u="1"/>
        <d v="2025-07-16T23:22:16" u="1"/>
        <d v="2025-07-16T23:39:13" u="1"/>
        <d v="2025-07-17T01:00:21" u="1"/>
        <d v="2025-07-17T01:12:57" u="1"/>
        <d v="2025-07-17T01:17:49" u="1"/>
        <d v="2025-07-17T02:17:08" u="1"/>
        <d v="2025-07-17T03:03:34" u="1"/>
        <d v="2025-07-17T03:49:39" u="1"/>
        <d v="2025-07-17T03:50:09" u="1"/>
        <d v="2025-07-17T03:50:54" u="1"/>
        <d v="2025-07-17T03:53:22" u="1"/>
        <d v="2025-07-17T03:59:01" u="1"/>
        <d v="2025-07-17T04:04:17" u="1"/>
        <d v="2025-07-17T04:11:03" u="1"/>
        <d v="2025-07-17T06:48:18" u="1"/>
        <d v="2025-07-17T07:34:22" u="1"/>
        <d v="2025-07-17T07:34:52" u="1"/>
        <d v="2025-07-17T07:40:36" u="1"/>
        <d v="2025-07-17T08:36:13" u="1"/>
        <d v="2025-07-17T09:00:58" u="1"/>
        <d v="2025-07-17T09:31:01" u="1"/>
        <d v="2025-07-17T09:33:05" u="1"/>
        <d v="2025-07-17T09:34:44" u="1"/>
        <d v="2025-07-17T09:35:42" u="1"/>
        <d v="2025-07-17T10:23:39" u="1"/>
        <d v="2025-07-17T10:44:26" u="1"/>
        <d v="2025-07-17T10:48:27" u="1"/>
        <d v="2025-07-17T10:48:32" u="1"/>
        <d v="2025-07-17T10:58:11" u="1"/>
        <d v="2025-07-17T11:03:37" u="1"/>
        <d v="2025-07-17T11:09:47" u="1"/>
        <d v="2025-07-17T11:10:34" u="1"/>
        <d v="2025-07-17T11:12:26" u="1"/>
        <d v="2025-07-17T11:18:14" u="1"/>
        <d v="2025-07-17T11:19:43" u="1"/>
        <d v="2025-07-17T12:27:54" u="1"/>
        <d v="2025-07-17T12:34:30" u="1"/>
        <d v="2025-07-17T14:17:09" u="1"/>
        <d v="2025-07-17T14:23:58" u="1"/>
        <d v="2025-07-17T15:20:11" u="1"/>
        <d v="2025-07-17T15:56:25" u="1"/>
        <d v="2025-07-17T21:20:58" u="1"/>
        <d v="2025-07-17T21:55:08" u="1"/>
        <d v="2025-07-17T22:03:45" u="1"/>
        <d v="2025-07-17T22:46:24" u="1"/>
        <d v="2025-07-17T23:15:36" u="1"/>
        <d v="2025-07-17T23:51:53" u="1"/>
        <d v="2025-07-18T00:09:51" u="1"/>
        <d v="2025-07-18T01:19:54" u="1"/>
        <d v="2025-07-18T02:03:57" u="1"/>
        <d v="2025-07-18T02:06:51" u="1"/>
        <d v="2025-07-18T02:10:33" u="1"/>
        <d v="2025-07-18T02:15:17" u="1"/>
        <d v="2025-07-18T02:16:18" u="1"/>
        <d v="2025-07-18T02:29:47" u="1"/>
        <d v="2025-07-18T02:36:26" u="1"/>
        <d v="2025-07-18T02:43:39" u="1"/>
        <d v="2025-07-18T03:02:26" u="1"/>
        <d v="2025-07-18T03:44:13" u="1"/>
        <d v="2025-07-18T04:38:07" u="1"/>
        <d v="2025-07-18T04:53:25" u="1"/>
        <d v="2025-07-18T05:07:22" u="1"/>
        <d v="2025-07-18T05:08:27" u="1"/>
        <d v="2025-07-18T05:08:51" u="1"/>
        <d v="2025-07-18T05:16:51" u="1"/>
        <d v="2025-07-18T05:30:15" u="1"/>
        <d v="2025-07-18T05:51:57" u="1"/>
        <d v="2025-07-18T06:17:01" u="1"/>
        <d v="2025-07-18T06:17:06" u="1"/>
        <d v="2025-07-18T06:39:19" u="1"/>
        <d v="2025-07-18T06:41:42" u="1"/>
        <d v="2025-07-18T06:42:25" u="1"/>
        <d v="2025-07-18T07:02:47" u="1"/>
        <d v="2025-07-18T07:22:04" u="1"/>
        <d v="2025-07-18T08:36:15" u="1"/>
        <d v="2025-07-18T08:36:29" u="1"/>
        <d v="2025-07-18T08:38:01" u="1"/>
        <d v="2025-07-18T09:34:17" u="1"/>
        <d v="2025-07-18T10:08:24" u="1"/>
        <d v="2025-07-18T11:44:33" u="1"/>
        <d v="2025-07-18T11:46:09" u="1"/>
        <d v="2025-07-18T13:05:00" u="1"/>
        <d v="2025-07-18T14:54:44" u="1"/>
        <d v="2025-07-18T18:10:38" u="1"/>
        <d v="2025-07-18T18:39:00" u="1"/>
        <d v="2025-07-18T19:29:09" u="1"/>
        <d v="2025-07-18T23:06:13" u="1"/>
        <d v="2025-07-18T23:29:16" u="1"/>
        <d v="2025-07-18T23:29:44" u="1"/>
        <d v="2025-07-18T23:36:09" u="1"/>
        <d v="2025-07-19T00:26:22" u="1"/>
        <d v="2025-07-19T00:31:18" u="1"/>
        <d v="2025-07-19T01:06:23" u="1"/>
        <d v="2025-07-19T01:08:09" u="1"/>
        <d v="2025-07-19T01:27:03" u="1"/>
        <d v="2025-07-19T02:23:14" u="1"/>
        <d v="2025-07-19T02:31:46" u="1"/>
        <d v="2025-07-19T03:06:18" u="1"/>
        <d v="2025-07-19T03:47:39" u="1"/>
        <d v="2025-07-19T03:48:07" u="1"/>
        <d v="2025-07-19T04:10:07" u="1"/>
        <d v="2025-07-19T04:16:05" u="1"/>
        <d v="2025-07-19T04:16:11" u="1"/>
        <d v="2025-07-19T04:21:07" u="1"/>
        <d v="2025-07-19T04:21:21" u="1"/>
        <d v="2025-07-19T05:28:10" u="1"/>
        <d v="2025-07-19T05:29:58" u="1"/>
        <d v="2025-07-19T05:32:41" u="1"/>
        <d v="2025-07-19T05:42:45" u="1"/>
        <d v="2025-07-19T05:45:36" u="1"/>
        <d v="2025-07-19T05:56:43" u="1"/>
        <d v="2025-07-19T05:59:19" u="1"/>
        <d v="2025-07-19T06:03:55" u="1"/>
        <d v="2025-07-19T06:13:55" u="1"/>
        <d v="2025-07-19T06:45:08" u="1"/>
        <d v="2025-07-19T08:12:23" u="1"/>
        <d v="2025-07-19T08:27:53" u="1"/>
        <d v="2025-07-19T08:28:31" u="1"/>
        <d v="2025-07-19T08:30:49" u="1"/>
        <d v="2025-07-19T08:53:52" u="1"/>
        <d v="2025-07-19T09:05:39" u="1"/>
        <d v="2025-07-19T10:49:29" u="1"/>
        <d v="2025-07-19T11:37:09" u="1"/>
        <d v="2025-07-19T11:43:29" u="1"/>
        <d v="2025-07-19T12:43:55" u="1"/>
        <d v="2025-07-19T13:38:27" u="1"/>
        <d v="2025-07-19T13:40:32" u="1"/>
        <d v="2025-07-19T13:44:02" u="1"/>
        <d v="2025-07-19T14:45:22" u="1"/>
        <d v="2025-07-19T21:31:40" u="1"/>
        <d v="2025-07-19T22:07:40" u="1"/>
        <d v="2025-07-19T22:11:02" u="1"/>
        <d v="2025-07-20T01:43:38" u="1"/>
        <d v="2025-07-20T01:46:32" u="1"/>
        <d v="2025-07-20T02:55:56" u="1"/>
        <d v="2025-07-20T03:01:41" u="1"/>
        <d v="2025-07-20T03:15:42" u="1"/>
        <d v="2025-07-20T04:17:04" u="1"/>
        <d v="2025-07-20T04:17:27" u="1"/>
        <d v="2025-07-20T04:18:20" u="1"/>
        <d v="2025-07-20T06:20:57" u="1"/>
        <d v="2025-07-20T07:19:07" u="1"/>
        <d v="2025-07-20T07:19:16" u="1"/>
        <d v="2025-07-20T07:23:12" u="1"/>
        <d v="2025-07-20T08:03:27" u="1"/>
        <d v="2025-07-20T08:42:22" u="1"/>
        <d v="2025-07-20T08:47:26" u="1"/>
        <d v="2025-07-20T08:57:44" u="1"/>
        <d v="2025-07-20T09:12:12" u="1"/>
        <d v="2025-07-20T09:33:45" u="1"/>
        <d v="2025-07-20T09:33:48" u="1"/>
        <d v="2025-07-20T09:44:51" u="1"/>
        <d v="2025-07-20T09:50:00" u="1"/>
        <d v="2025-07-20T09:53:18" u="1"/>
        <d v="2025-07-20T09:55:30" u="1"/>
        <d v="2025-07-20T10:00:13" u="1"/>
        <d v="2025-07-20T10:00:23" u="1"/>
        <d v="2025-07-20T10:02:08" u="1"/>
        <d v="2025-07-20T10:02:49" u="1"/>
        <d v="2025-07-20T10:12:54" u="1"/>
        <d v="2025-07-20T10:17:57" u="1"/>
        <d v="2025-07-20T11:01:27" u="1"/>
        <d v="2025-07-20T11:10:17" u="1"/>
        <d v="2025-07-20T11:41:30" u="1"/>
        <d v="2025-07-20T11:41:47" u="1"/>
        <d v="2025-07-20T12:01:37" u="1"/>
        <d v="2025-07-20T12:10:34" u="1"/>
        <d v="2025-07-20T13:29:53" u="1"/>
        <d v="2025-07-20T19:11:08" u="1"/>
        <d v="2025-07-20T23:10:43" u="1"/>
        <d v="2025-07-21T03:22:19" u="1"/>
        <d v="2025-07-21T04:20:34" u="1"/>
        <d v="2025-07-21T04:33:03" u="1"/>
        <d v="2025-07-21T04:40:50" u="1"/>
        <d v="2025-07-21T05:01:18" u="1"/>
        <d v="2025-07-21T05:04:36" u="1"/>
        <d v="2025-07-21T05:17:18" u="1"/>
        <d v="2025-07-21T05:27:41" u="1"/>
        <d v="2025-07-21T06:11:11" u="1"/>
        <d v="2025-07-21T07:25:24" u="1"/>
        <d v="2025-07-21T08:16:26" u="1"/>
        <d v="2025-07-21T10:56:05" u="1"/>
        <d v="2025-07-21T13:01:23" u="1"/>
        <d v="2025-07-21T13:02:28" u="1"/>
        <d v="2025-07-21T13:20:15" u="1"/>
        <d v="2025-07-21T19:35:44" u="1"/>
        <d v="2025-07-21T20:13:37" u="1"/>
        <d v="2025-07-21T22:12:19" u="1"/>
        <d v="2025-07-21T22:40:52" u="1"/>
        <d v="2025-07-22T00:14:47" u="1"/>
        <d v="2025-07-22T00:26:46" u="1"/>
        <d v="2025-07-22T01:57:57" u="1"/>
        <d v="2025-07-22T02:01:37" u="1"/>
        <d v="2025-07-22T02:13:39" u="1"/>
        <d v="2025-07-22T02:25:58" u="1"/>
        <d v="2025-07-22T02:26:18" u="1"/>
        <d v="2025-07-22T02:35:40" u="1"/>
        <d v="2025-07-22T02:46:11" u="1"/>
        <d v="2025-07-22T03:55:35" u="1"/>
        <d v="2025-07-22T04:10:21" u="1"/>
        <d v="2025-07-22T04:31:42" u="1"/>
        <d v="2025-07-22T05:03:28" u="1"/>
        <d v="2025-07-22T05:37:11" u="1"/>
        <d v="2025-07-22T07:30:48" u="1"/>
        <d v="2025-07-22T08:18:25" u="1"/>
        <d v="2025-07-22T08:20:20" u="1"/>
        <d v="2025-07-22T08:23:26" u="1"/>
        <d v="2025-07-22T08:35:59" u="1"/>
        <d v="2025-07-22T09:10:51" u="1"/>
        <d v="2025-07-22T09:23:02" u="1"/>
        <d v="2025-07-22T09:38:31" u="1"/>
        <d v="2025-07-22T09:58:01" u="1"/>
        <d v="2025-07-22T10:29:17" u="1"/>
        <d v="2025-07-22T13:49:37" u="1"/>
        <d v="2025-07-22T14:39:18" u="1"/>
        <d v="2025-07-22T14:59:13" u="1"/>
        <d v="2025-07-22T15:04:04" u="1"/>
        <d v="2025-07-22T16:27:25" u="1"/>
        <d v="2025-07-22T16:38:45" u="1"/>
        <d v="2025-07-22T17:05:29" u="1"/>
        <d v="2025-07-22T21:55:19" u="1"/>
        <d v="2025-07-22T22:40:56" u="1"/>
        <d v="2025-07-22T22:46:29" u="1"/>
        <d v="2025-07-22T22:48:59" u="1"/>
        <d v="2025-07-22T22:52:17" u="1"/>
        <d v="2025-07-22T22:54:02" u="1"/>
        <d v="2025-07-22T22:56:38" u="1"/>
        <d v="2025-07-22T23:01:14" u="1"/>
        <d v="2025-07-22T23:02:05" u="1"/>
        <d v="2025-07-22T23:25:33" u="1"/>
        <d v="2025-07-22T23:27:15" u="1"/>
        <d v="2025-07-22T23:31:27" u="1"/>
        <d v="2025-07-22T23:45:15" u="1"/>
        <d v="2025-07-23T00:10:46" u="1"/>
        <d v="2025-07-23T00:15:38" u="1"/>
        <d v="2025-07-23T00:20:32" u="1"/>
        <d v="2025-07-23T00:31:53" u="1"/>
        <d v="2025-07-23T00:36:14" u="1"/>
        <d v="2025-07-23T00:42:17" u="1"/>
        <d v="2025-07-23T00:49:35" u="1"/>
        <d v="2025-07-23T00:56:58" u="1"/>
        <d v="2025-07-23T01:16:30" u="1"/>
        <d v="2025-07-23T01:16:38" u="1"/>
        <d v="2025-07-23T01:30:58" u="1"/>
        <d v="2025-07-23T01:33:04" u="1"/>
        <d v="2025-07-23T01:35:23" u="1"/>
        <d v="2025-07-23T01:36:02" u="1"/>
        <d v="2025-07-23T01:39:45" u="1"/>
        <d v="2025-07-23T01:40:12" u="1"/>
        <d v="2025-07-23T01:42:21" u="1"/>
        <d v="2025-07-23T02:04:57" u="1"/>
        <d v="2025-07-23T02:07:37" u="1"/>
        <d v="2025-07-23T02:52:16" u="1"/>
        <d v="2025-07-23T02:53:14" u="1"/>
        <d v="2025-07-23T03:00:07" u="1"/>
        <d v="2025-07-23T03:00:31" u="1"/>
        <d v="2025-07-23T03:04:20" u="1"/>
        <d v="2025-07-23T03:06:29" u="1"/>
        <d v="2025-07-23T03:07:21" u="1"/>
        <d v="2025-07-23T03:09:35" u="1"/>
        <d v="2025-07-23T03:30:46" u="1"/>
        <d v="2025-07-23T03:33:13" u="1"/>
        <d v="2025-07-23T03:34:07" u="1"/>
        <d v="2025-07-23T03:34:41" u="1"/>
        <d v="2025-07-23T03:49:29" u="1"/>
        <d v="2025-07-23T04:00:22" u="1"/>
        <d v="2025-07-23T04:55:22" u="1"/>
        <d v="2025-07-23T04:56:12" u="1"/>
        <d v="2025-07-23T05:37:48" u="1"/>
        <d v="2025-07-23T05:41:47" u="1"/>
        <d v="2025-07-23T05:45:41" u="1"/>
        <d v="2025-07-23T06:31:21" u="1"/>
        <d v="2025-07-23T06:31:40" u="1"/>
        <d v="2025-07-23T06:41:38" u="1"/>
        <d v="2025-07-23T06:47:45" u="1"/>
        <d v="2025-07-23T07:00:56" u="1"/>
        <d v="2025-07-23T07:05:01" u="1"/>
        <d v="2025-07-23T07:09:47" u="1"/>
        <d v="2025-07-23T07:16:07" u="1"/>
        <d v="2025-07-23T07:26:15" u="1"/>
        <d v="2025-07-23T07:29:56" u="1"/>
        <d v="2025-07-23T07:34:25" u="1"/>
        <d v="2025-07-23T08:32:42" u="1"/>
        <d v="2025-07-23T09:09:21" u="1"/>
        <d v="2025-07-23T10:19:27" u="1"/>
        <d v="2025-07-23T10:51:28" u="1"/>
        <d v="2025-07-23T12:07:09" u="1"/>
        <d v="2025-07-23T12:20:52" u="1"/>
        <d v="2025-07-23T12:41:34" u="1"/>
        <d v="2025-07-23T13:14:45" u="1"/>
        <d v="2025-07-23T14:24:01" u="1"/>
        <d v="2025-07-23T14:51:30" u="1"/>
        <d v="2025-07-23T18:01:08" u="1"/>
        <d v="2025-07-23T18:07:15" u="1"/>
        <d v="2025-07-23T18:30:16" u="1"/>
        <d v="2025-07-23T19:16:53" u="1"/>
        <d v="2025-07-23T22:49:08" u="1"/>
        <d v="2025-07-23T22:58:40" u="1"/>
        <d v="2025-07-23T23:01:07" u="1"/>
        <d v="2025-07-23T23:05:08" u="1"/>
        <d v="2025-07-23T23:06:14" u="1"/>
        <d v="2025-07-23T23:11:28" u="1"/>
        <d v="2025-07-23T23:12:07" u="1"/>
        <d v="2025-07-23T23:14:18" u="1"/>
        <d v="2025-07-23T23:33:15" u="1"/>
        <d v="2025-07-23T23:36:43" u="1"/>
        <d v="2025-07-23T23:44:55" u="1"/>
        <d v="2025-07-24T00:14:11" u="1"/>
        <d v="2025-07-24T00:17:25" u="1"/>
        <d v="2025-07-24T00:31:28" u="1"/>
        <d v="2025-07-24T00:42:13" u="1"/>
        <d v="2025-07-24T00:48:36" u="1"/>
        <d v="2025-07-24T00:49:02" u="1"/>
        <d v="2025-07-24T00:49:30" u="1"/>
        <d v="2025-07-24T00:53:11" u="1"/>
        <d v="2025-07-24T01:03:02" u="1"/>
        <d v="2025-07-24T01:30:33" u="1"/>
        <d v="2025-07-24T01:31:05" u="1"/>
        <d v="2025-07-24T01:52:26" u="1"/>
        <d v="2025-07-24T01:55:45" u="1"/>
        <d v="2025-07-24T01:56:28" u="1"/>
        <d v="2025-07-24T01:58:16" u="1"/>
        <d v="2025-07-24T01:58:55" u="1"/>
        <d v="2025-07-24T02:05:04" u="1"/>
        <d v="2025-07-24T02:06:18" u="1"/>
        <d v="2025-07-24T02:18:30" u="1"/>
        <d v="2025-07-24T02:34:04" u="1"/>
        <d v="2025-07-24T02:47:02" u="1"/>
        <d v="2025-07-24T03:13:52" u="1"/>
        <d v="2025-07-24T03:17:44" u="1"/>
        <d v="2025-07-24T03:20:42" u="1"/>
        <d v="2025-07-24T03:22:05" u="1"/>
        <d v="2025-07-24T03:27:30" u="1"/>
        <d v="2025-07-24T04:14:00" u="1"/>
        <d v="2025-07-24T04:19:16" u="1"/>
        <d v="2025-07-24T04:31:42" u="1"/>
        <d v="2025-07-24T04:32:10" u="1"/>
        <d v="2025-07-24T05:05:07" u="1"/>
        <d v="2025-07-24T05:09:13" u="1"/>
        <d v="2025-07-24T05:24:44" u="1"/>
        <d v="2025-07-24T05:26:36" u="1"/>
        <d v="2025-07-24T05:29:58" u="1"/>
        <d v="2025-07-24T05:55:16" u="1"/>
        <d v="2025-07-24T06:03:32" u="1"/>
        <d v="2025-07-24T06:35:57" u="1"/>
        <d v="2025-07-24T06:42:22" u="1"/>
        <d v="2025-07-24T06:54:38" u="1"/>
        <d v="2025-07-24T06:57:14" u="1"/>
        <d v="2025-07-24T07:03:23" u="1"/>
        <d v="2025-07-24T07:12:38" u="1"/>
        <d v="2025-07-24T08:02:49" u="1"/>
        <d v="2025-07-24T08:15:26" u="1"/>
        <d v="2025-07-24T08:56:59" u="1"/>
        <d v="2025-07-24T09:27:28" u="1"/>
        <d v="2025-07-24T11:51:02" u="1"/>
        <d v="2025-07-24T11:57:14" u="1"/>
        <d v="2025-07-24T12:06:20" u="1"/>
        <d v="2025-07-24T12:20:36" u="1"/>
        <d v="2025-07-24T12:26:42" u="1"/>
        <d v="2025-07-24T15:17:13" u="1"/>
        <d v="2025-07-24T16:31:00" u="1"/>
        <d v="2025-07-24T17:48:06" u="1"/>
        <d v="2025-07-24T17:50:13" u="1"/>
        <d v="2025-07-24T18:00:14" u="1"/>
        <d v="2025-07-24T21:20:49" u="1"/>
        <d v="2025-07-24T21:41:28" u="1"/>
        <d v="2025-07-24T21:41:58" u="1"/>
        <d v="2025-07-24T21:59:17" u="1"/>
        <d v="2025-07-24T22:42:54" u="1"/>
        <d v="2025-07-24T22:50:59" u="1"/>
        <d v="2025-07-24T23:01:22" u="1"/>
        <d v="2025-07-24T23:04:19" u="1"/>
        <d v="2025-07-24T23:38:22" u="1"/>
        <d v="2025-07-24T23:59:43" u="1"/>
        <d v="2025-07-25T00:02:25" u="1"/>
        <d v="2025-07-25T00:10:31" u="1"/>
        <d v="2025-07-25T00:41:51" u="1"/>
        <d v="2025-07-25T02:22:46" u="1"/>
        <d v="2025-07-25T03:25:24" u="1"/>
        <d v="2025-07-25T04:13:50" u="1"/>
        <d v="2025-07-25T04:15:45" u="1"/>
        <d v="2025-07-25T04:39:24" u="1"/>
        <d v="2025-07-25T04:59:47" u="1"/>
        <d v="2025-07-25T05:00:39" u="1"/>
        <d v="2025-07-25T05:07:52" u="1"/>
        <d v="2025-07-25T05:39:25" u="1"/>
        <d v="2025-07-25T06:49:03" u="1"/>
        <d v="2025-07-25T06:49:50" u="1"/>
        <d v="2025-07-25T07:05:22" u="1"/>
        <d v="2025-07-25T07:43:37" u="1"/>
        <d v="2025-07-25T08:19:47" u="1"/>
        <d v="2025-07-25T09:14:17" u="1"/>
        <d v="2025-07-25T10:18:02" u="1"/>
        <d v="2025-07-25T12:38:26" u="1"/>
        <d v="2025-07-25T12:47:17" u="1"/>
        <d v="2025-07-25T13:01:14" u="1"/>
        <d v="2025-07-25T13:05:36" u="1"/>
        <d v="2025-07-25T14:02:36" u="1"/>
        <d v="2025-07-25T14:12:21" u="1"/>
        <d v="2025-07-25T14:42:56" u="1"/>
        <d v="2025-07-25T18:22:04" u="1"/>
        <d v="2025-07-25T21:15:50" u="1"/>
        <d v="2025-07-25T22:00:10" u="1"/>
        <d v="2025-07-25T22:02:05" u="1"/>
        <d v="2025-07-26T00:04:54" u="1"/>
        <d v="2025-07-26T00:43:20" u="1"/>
        <d v="2025-07-26T01:16:10" u="1"/>
        <d v="2025-07-26T02:15:02" u="1"/>
        <d v="2025-07-26T04:10:31" u="1"/>
        <d v="2025-07-26T05:05:18" u="1"/>
        <d v="2025-07-26T05:53:26" u="1"/>
        <d v="2025-07-26T06:00:09" u="1"/>
        <d v="2025-07-26T06:18:47" u="1"/>
        <d v="2025-07-26T07:46:52" u="1"/>
        <d v="2025-07-26T08:23:43" u="1"/>
        <d v="2025-07-26T08:51:10" u="1"/>
        <d v="2025-07-26T15:51:29" u="1"/>
        <d v="2025-07-26T19:41:16" u="1"/>
        <d v="2025-07-26T19:47:45" u="1"/>
        <d v="2025-07-26T20:52:31" u="1"/>
        <d v="2025-07-26T21:04:19" u="1"/>
        <d v="2025-07-26T21:50:55" u="1"/>
        <d v="2025-07-26T23:13:36" u="1"/>
        <d v="2025-07-26T23:53:00" u="1"/>
        <d v="2025-07-27T00:19:09" u="1"/>
        <d v="2025-07-27T00:44:07" u="1"/>
        <d v="2025-07-27T01:10:59" u="1"/>
        <d v="2025-07-27T04:25:06" u="1"/>
        <d v="2025-07-27T04:30:51" u="1"/>
        <d v="2025-07-27T04:38:55" u="1"/>
        <d v="2025-07-27T06:25:25" u="1"/>
        <d v="2025-07-27T10:06:20" u="1"/>
        <d v="2025-07-27T10:10:32" u="1"/>
        <d v="2025-07-27T10:27:17" u="1"/>
        <d v="2025-07-27T11:23:01" u="1"/>
        <d v="2025-07-27T11:37:51" u="1"/>
        <d v="2025-07-27T11:49:08" u="1"/>
        <d v="2025-07-27T11:51:00" u="1"/>
        <d v="2025-07-27T12:12:50" u="1"/>
        <d v="2025-07-27T12:17:02" u="1"/>
        <d v="2025-07-27T12:26:36" u="1"/>
        <d v="2025-07-27T12:26:51" u="1"/>
        <d v="2025-07-27T12:30:54" u="1"/>
        <d v="2025-07-27T12:33:59" u="1"/>
        <d v="2025-07-27T13:01:48" u="1"/>
        <d v="2025-07-27T14:22:01" u="1"/>
        <d v="2025-07-27T14:29:53" u="1"/>
        <d v="2025-07-27T14:43:07" u="1"/>
        <d v="2025-07-27T19:21:43" u="1"/>
        <d v="2025-07-27T23:16:56" u="1"/>
        <d v="2025-07-27T23:36:12" u="1"/>
        <d v="2025-07-28T00:17:43" u="1"/>
        <d v="2025-07-28T00:29:54" u="1"/>
        <d v="2025-07-28T00:32:16" u="1"/>
        <d v="2025-07-28T07:41:11" u="1"/>
        <d v="2025-07-28T10:21:34" u="1"/>
        <d v="2025-07-28T10:32:40" u="1"/>
        <d v="2025-07-28T10:34:39" u="1"/>
        <d v="2025-07-28T11:00:04" u="1"/>
        <d v="2025-07-28T13:01:33" u="1"/>
        <d v="2025-07-28T21:38:12" u="1"/>
        <d v="2025-07-28T22:22:02" u="1"/>
        <d v="2025-07-28T22:22:12" u="1"/>
        <d v="2025-07-28T23:36:32" u="1"/>
        <d v="2025-07-28T23:44:12" u="1"/>
        <d v="2025-07-28T23:46:00" u="1"/>
        <d v="2025-07-29T01:55:21" u="1"/>
        <d v="2025-07-29T03:00:48" u="1"/>
        <d v="2025-07-29T04:17:27" u="1"/>
        <d v="2025-07-29T04:23:34" u="1"/>
        <d v="2025-07-29T05:28:11" u="1"/>
        <d v="2025-07-29T05:28:52" u="1"/>
        <d v="2025-07-29T06:39:30" u="1"/>
        <d v="2025-07-29T06:43:43" u="1"/>
        <d v="2025-07-29T07:00:34" u="1"/>
        <d v="2025-07-29T07:25:10" u="1"/>
        <d v="2025-07-29T08:28:51" u="1"/>
        <d v="2025-07-29T08:43:03" u="1"/>
        <d v="2025-07-29T08:47:08" u="1"/>
        <d v="2025-07-29T17:17:23" u="1"/>
        <d v="2025-07-29T22:39:55" u="1"/>
        <d v="2025-07-29T22:41:49" u="1"/>
        <d v="2025-07-29T22:49:44" u="1"/>
        <d v="2025-07-30T00:01:39" u="1"/>
        <d v="2025-07-30T00:04:37" u="1"/>
        <d v="2025-07-30T00:14:45" u="1"/>
        <d v="2025-07-30T00:21:51" u="1"/>
        <d v="2025-07-30T01:18:00" u="1"/>
        <d v="2025-07-30T01:26:08" u="1"/>
        <d v="2025-07-30T02:48:09" u="1"/>
        <d v="2025-07-30T02:49:03" u="1"/>
        <d v="2025-07-30T03:19:28" u="1"/>
        <d v="2025-07-30T03:34:15" u="1"/>
        <d v="2025-07-30T03:58:00" u="1"/>
        <d v="2025-07-30T04:34:04" u="1"/>
        <d v="2025-07-30T04:35:40" u="1"/>
        <d v="2025-07-30T05:54:27" u="1"/>
        <d v="2025-07-30T06:00:29" u="1"/>
        <d v="2025-07-30T06:06:36" u="1"/>
        <d v="2025-07-30T08:06:17" u="1"/>
        <d v="2025-07-30T09:12:13" u="1"/>
        <d v="2025-07-30T10:08:25" u="1"/>
        <d v="2025-07-30T12:24:24" u="1"/>
        <d v="2025-07-30T14:32:37" u="1"/>
        <d v="2025-07-30T14:37:02" u="1"/>
        <d v="2025-07-30T15:08:41" u="1"/>
        <d v="2025-07-30T15:17:42" u="1"/>
        <d v="2025-07-30T20:51:37" u="1"/>
        <d v="2025-07-30T22:19:26" u="1"/>
        <d v="2025-07-30T23:15:22" u="1"/>
        <d v="2025-07-30T23:16:26" u="1"/>
        <d v="2025-07-30T23:51:25" u="1"/>
        <d v="2025-07-30T23:56:58" u="1"/>
        <d v="2025-07-31T00:15:31" u="1"/>
        <d v="2025-07-31T00:47:32" u="1"/>
        <d v="2025-07-31T00:59:18" u="1"/>
        <d v="2025-07-31T01:01:04" u="1"/>
        <d v="2025-07-31T02:56:24" u="1"/>
        <d v="2025-07-31T03:21:01" u="1"/>
        <d v="2025-07-31T03:55:00" u="1"/>
        <d v="2025-07-31T04:03:01" u="1"/>
        <d v="2025-07-31T04:13:12" u="1"/>
        <d v="2025-07-31T04:20:51" u="1"/>
        <d v="2025-07-31T04:22:10" u="1"/>
        <d v="2025-07-31T04:23:10" u="1"/>
        <d v="2025-07-31T04:36:17" u="1"/>
        <d v="2025-07-31T04:36:36" u="1"/>
        <d v="2025-07-31T04:41:32" u="1"/>
        <d v="2025-07-31T04:51:15" u="1"/>
        <d v="2025-07-31T05:09:05" u="1"/>
        <d v="2025-07-31T05:37:13" u="1"/>
        <d v="2025-07-31T05:45:21" u="1"/>
        <d v="2025-07-31T05:58:27" u="1"/>
        <d v="2025-07-31T06:00:32" u="1"/>
        <d v="2025-07-31T07:09:55" u="1"/>
        <d v="2025-07-31T07:11:21" u="1"/>
        <d v="2025-07-31T08:05:38" u="1"/>
        <d v="2025-07-31T09:42:01" u="1"/>
        <d v="2025-07-31T10:14:19" u="1"/>
        <d v="2025-07-31T10:17:15" u="1"/>
        <d v="2025-07-31T12:37:32" u="1"/>
        <d v="2025-07-31T13:26:26" u="1"/>
        <d v="2025-07-31T13:55:27" u="1"/>
        <d v="2025-07-31T14:15:41" u="1"/>
        <d v="2025-07-31T14:38:01" u="1"/>
        <d v="2025-07-31T14:52:28" u="1"/>
        <d v="2025-07-31T16:12:35" u="1"/>
        <d v="2025-07-31T17:26:37" u="1"/>
        <d v="2025-07-31T18:10:17" u="1"/>
        <d v="2025-07-31T18:20:37" u="1"/>
        <d v="2025-07-31T19:18:38" u="1"/>
        <d v="2025-07-31T21:43:51" u="1"/>
        <d v="2025-07-31T22:00:08" u="1"/>
        <d v="2025-07-31T22:03:49" u="1"/>
        <d v="2025-07-31T22:57:48" u="1"/>
        <d v="2025-07-31T23:02:02" u="1"/>
        <d v="2025-07-31T23:40:41" u="1"/>
        <d v="2025-08-01T00:19:35" u="1"/>
        <d v="2025-08-01T00:24:56" u="1"/>
        <d v="2025-08-01T00:41:20" u="1"/>
        <d v="2025-08-01T00:42:19" u="1"/>
        <d v="2025-08-01T01:38:34" u="1"/>
        <d v="2025-08-01T02:06:52" u="1"/>
        <d v="2025-08-01T02:09:36" u="1"/>
        <d v="2025-08-01T02:19:37" u="1"/>
        <d v="2025-08-01T02:30:53" u="1"/>
        <d v="2025-08-01T02:31:17" u="1"/>
        <d v="2025-08-01T02:34:03" u="1"/>
        <d v="2025-08-01T02:38:57" u="1"/>
        <d v="2025-08-01T02:44:23" u="1"/>
        <d v="2025-08-01T02:45:48" u="1"/>
        <d v="2025-08-01T03:07:21" u="1"/>
        <d v="2025-08-01T03:19:26" u="1"/>
        <d v="2025-08-01T03:29:27" u="1"/>
        <d v="2025-08-01T03:43:11" u="1"/>
        <d v="2025-08-01T03:45:23" u="1"/>
        <d v="2025-08-01T04:00:31" u="1"/>
        <d v="2025-08-01T04:31:29" u="1"/>
        <d v="2025-08-01T04:31:35" u="1"/>
        <d v="2025-08-01T04:51:06" u="1"/>
        <d v="2025-08-01T04:53:39" u="1"/>
        <d v="2025-08-01T05:36:19" u="1"/>
        <d v="2025-08-01T06:05:49" u="1"/>
        <d v="2025-08-01T06:19:40" u="1"/>
        <d v="2025-08-01T07:04:54" u="1"/>
        <d v="2025-08-01T07:25:58" u="1"/>
        <d v="2025-08-01T07:29:23" u="1"/>
        <d v="2025-08-01T07:29:24" u="1"/>
        <d v="2025-08-01T07:29:54" u="1"/>
        <d v="2025-08-01T07:33:26" u="1"/>
        <d v="2025-08-01T08:21:17" u="1"/>
        <d v="2025-08-01T08:43:44" u="1"/>
        <d v="2025-08-01T10:58:38" u="1"/>
        <d v="2025-08-01T11:17:23" u="1"/>
        <d v="2025-08-01T11:32:16" u="1"/>
        <d v="2025-08-01T12:10:27" u="1"/>
        <d v="2025-08-01T12:11:26" u="1"/>
        <d v="2025-08-01T12:27:27" u="1"/>
        <d v="2025-08-01T12:27:28" u="1"/>
        <d v="2025-08-01T12:27:48" u="1"/>
        <d v="2025-08-01T12:29:11" u="1"/>
        <d v="2025-08-01T12:39:40" u="1"/>
        <d v="2025-08-01T12:55:24" u="1"/>
        <d v="2025-08-01T12:55:53" u="1"/>
        <d v="2025-08-01T12:56:02" u="1"/>
        <d v="2025-08-01T12:58:47" u="1"/>
        <d v="2025-08-01T12:58:57" u="1"/>
        <d v="2025-08-01T13:00:52" u="1"/>
        <d v="2025-08-01T13:01:12" u="1"/>
        <d v="2025-08-01T13:01:36" u="1"/>
        <d v="2025-08-01T13:02:53" u="1"/>
        <d v="2025-08-01T13:07:47" u="1"/>
        <d v="2025-08-01T13:13:41" u="1"/>
        <d v="2025-08-01T13:46:42" u="1"/>
        <d v="2025-08-01T14:01:39" u="1"/>
        <d v="2025-08-01T14:04:52" u="1"/>
        <d v="2025-08-01T14:07:33" u="1"/>
        <d v="2025-08-01T14:15:38" u="1"/>
        <d v="2025-08-01T14:19:23" u="1"/>
        <d v="2025-08-01T14:29:33" u="1"/>
        <d v="2025-08-01T15:02:36" u="1"/>
        <d v="2025-08-01T15:13:52" u="1"/>
        <d v="2025-08-01T17:08:39" u="1"/>
        <d v="2025-08-01T17:21:32" u="1"/>
        <d v="2025-08-01T19:56:54" u="1"/>
        <d v="2025-08-01T20:09:00" u="1"/>
        <d v="2025-08-01T20:10:58" u="1"/>
        <d v="2025-08-01T20:13:26" u="1"/>
        <d v="2025-08-01T20:17:58" u="1"/>
        <d v="2025-08-01T20:18:43" u="1"/>
        <d v="2025-08-01T21:05:49" u="1"/>
        <d v="2025-08-01T21:07:42" u="1"/>
        <d v="2025-08-01T21:22:47" u="1"/>
        <d v="2025-08-01T21:58:49" u="1"/>
        <d v="2025-08-01T22:06:12" u="1"/>
        <d v="2025-08-01T22:42:22" u="1"/>
        <d v="2025-08-01T22:44:09" u="1"/>
        <d v="2025-08-01T22:45:31" u="1"/>
        <d v="2025-08-01T23:14:25" u="1"/>
        <d v="2025-08-01T23:47:12" u="1"/>
        <d v="2025-08-02T00:29:22" u="1"/>
        <d v="2025-08-02T00:31:07" u="1"/>
        <d v="2025-08-02T00:31:37" u="1"/>
        <d v="2025-08-02T00:33:09" u="1"/>
        <d v="2025-08-02T00:36:04" u="1"/>
        <d v="2025-08-02T00:39:25" u="1"/>
        <d v="2025-08-02T00:43:05" u="1"/>
        <d v="2025-08-02T01:32:17" u="1"/>
        <d v="2025-08-02T01:42:36" u="1"/>
        <d v="2025-08-02T01:57:05" u="1"/>
        <d v="2025-08-02T02:07:18" u="1"/>
        <d v="2025-08-02T02:14:34" u="1"/>
        <d v="2025-08-02T02:24:02" u="1"/>
        <d v="2025-08-02T02:36:56" u="1"/>
        <d v="2025-08-02T02:57:36" u="1"/>
        <d v="2025-08-02T03:15:39" u="1"/>
        <d v="2025-08-02T03:15:47" u="1"/>
        <d v="2025-08-02T03:27:43" u="1"/>
        <d v="2025-08-02T04:28:36" u="1"/>
        <d v="2025-08-02T04:35:35" u="1"/>
        <d v="2025-08-02T04:38:53" u="1"/>
        <d v="2025-08-02T04:43:04" u="1"/>
        <d v="2025-08-02T04:50:56" u="1"/>
        <d v="2025-08-02T05:01:47" u="1"/>
        <d v="2025-08-02T05:59:44" u="1"/>
        <d v="2025-08-02T05:59:47" u="1"/>
        <d v="2025-08-02T06:06:35" u="1"/>
        <d v="2025-08-02T07:15:38" u="1"/>
        <d v="2025-08-02T07:22:08" u="1"/>
        <d v="2025-08-02T07:33:51" u="1"/>
        <d v="2025-08-02T08:05:27" u="1"/>
        <d v="2025-08-02T08:19:51" u="1"/>
        <d v="2025-08-02T08:20:04" u="1"/>
        <d v="2025-08-02T08:21:29" u="1"/>
        <d v="2025-08-02T08:21:59" u="1"/>
        <d v="2025-08-02T08:43:27" u="1"/>
        <d v="2025-08-02T09:07:11" u="1"/>
        <d v="2025-08-02T09:20:41" u="1"/>
        <d v="2025-08-02T09:30:44" u="1"/>
        <d v="2025-08-02T09:41:16" u="1"/>
        <d v="2025-08-02T09:44:19" u="1"/>
        <d v="2025-08-02T10:56:56" u="1"/>
        <d v="2025-08-02T11:01:07" u="1"/>
        <d v="2025-08-02T11:04:09" u="1"/>
        <d v="2025-08-02T11:07:00" u="1"/>
        <d v="2025-08-02T11:09:40" u="1"/>
        <d v="2025-08-02T11:52:19" u="1"/>
        <d v="2025-08-02T12:18:33" u="1"/>
        <d v="2025-08-02T12:51:55" u="1"/>
        <d v="2025-08-02T14:01:48" u="1"/>
        <d v="2025-08-02T14:56:36" u="1"/>
        <d v="2025-08-02T21:05:03" u="1"/>
        <d v="2025-08-02T21:20:02" u="1"/>
        <d v="2025-08-02T21:20:26" u="1"/>
        <d v="2025-08-02T21:20:35" u="1"/>
        <d v="2025-08-02T21:20:37" u="1"/>
        <d v="2025-08-02T21:24:43" u="1"/>
        <d v="2025-08-02T21:42:25" u="1"/>
        <d v="2025-08-02T21:43:51" u="1"/>
        <d v="2025-08-02T21:44:50" u="1"/>
        <d v="2025-08-02T22:10:38" u="1"/>
        <d v="2025-08-02T22:28:49" u="1"/>
        <d v="2025-08-02T22:35:37" u="1"/>
        <d v="2025-08-02T22:41:43" u="1"/>
        <d v="2025-08-02T23:18:20" u="1"/>
        <d v="2025-08-03T00:10:04" u="1"/>
        <d v="2025-08-03T00:19:48" u="1"/>
        <d v="2025-08-03T00:22:45" u="1"/>
        <d v="2025-08-03T01:42:18" u="1"/>
        <d v="2025-08-03T03:55:27" u="1"/>
        <d v="2025-08-03T04:03:09" u="1"/>
        <d v="2025-08-03T05:18:48" u="1"/>
        <d v="2025-08-03T05:34:50" u="1"/>
        <d v="2025-08-03T05:36:32" u="1"/>
        <d v="2025-08-03T05:38:38" u="1"/>
        <d v="2025-08-03T06:04:09" u="1"/>
        <d v="2025-08-03T07:08:35" u="1"/>
        <d v="2025-08-03T08:09:45" u="1"/>
        <d v="2025-08-03T08:19:33" u="1"/>
        <d v="2025-08-03T08:22:11" u="1"/>
        <d v="2025-08-03T08:22:37" u="1"/>
        <d v="2025-08-03T08:33:06" u="1"/>
        <d v="2025-08-03T08:33:33" u="1"/>
        <d v="2025-08-03T09:40:42" u="1"/>
        <d v="2025-08-03T10:22:46" u="1"/>
        <d v="2025-08-03T10:37:10" u="1"/>
        <d v="2025-08-03T10:47:22" u="1"/>
        <d v="2025-08-03T10:51:24" u="1"/>
        <d v="2025-08-03T10:53:05" u="1"/>
        <d v="2025-08-03T11:01:58" u="1"/>
        <d v="2025-08-03T11:32:24" u="1"/>
        <d v="2025-08-03T11:38:52" u="1"/>
        <d v="2025-08-03T11:52:43" u="1"/>
        <d v="2025-08-03T12:40:45" u="1"/>
        <d v="2025-08-03T13:16:02" u="1"/>
        <d v="2025-08-03T13:16:09" u="1"/>
        <d v="2025-08-03T13:41:42" u="1"/>
        <d v="2025-08-03T14:15:29" u="1"/>
        <d v="2025-08-03T14:29:05" u="1"/>
        <d v="2025-08-03T14:50:57" u="1"/>
        <d v="2025-08-03T15:06:45" u="1"/>
        <d v="2025-08-03T16:54:17" u="1"/>
        <d v="2025-08-03T17:03:13" u="1"/>
        <d v="2025-08-03T17:11:17" u="1"/>
        <d v="2025-08-03T18:30:27" u="1"/>
        <d v="2025-08-03T19:42:55" u="1"/>
        <d v="2025-08-03T21:43:25" u="1"/>
        <d v="2025-08-03T22:08:25" u="1"/>
        <d v="2025-08-04T00:15:59" u="1"/>
        <d v="2025-08-04T00:24:38" u="1"/>
        <d v="2025-08-04T00:41:06" u="1"/>
        <d v="2025-08-04T02:35:10" u="1"/>
        <d v="2025-08-04T02:48:28" u="1"/>
        <d v="2025-08-04T03:34:20" u="1"/>
        <d v="2025-08-04T03:55:01" u="1"/>
        <d v="2025-08-04T04:51:26" u="1"/>
        <d v="2025-08-04T04:53:40" u="1"/>
        <d v="2025-08-04T09:24:37" u="1"/>
        <d v="2025-08-04T09:57:38" u="1"/>
        <d v="2025-08-04T10:11:31" u="1"/>
        <d v="2025-08-04T12:45:22" u="1"/>
        <d v="2025-08-04T12:49:10" u="1"/>
        <d v="2025-08-04T12:53:38" u="1"/>
        <d v="2025-08-04T13:07:36" u="1"/>
        <d v="2025-08-04T13:08:19" u="1"/>
        <d v="2025-08-04T14:54:22" u="1"/>
        <d v="2025-08-04T14:55:29" u="1"/>
        <d v="2025-08-04T15:00:06" u="1"/>
        <d v="2025-08-04T16:03:58" u="1"/>
        <d v="2025-08-04T18:25:30" u="1"/>
        <d v="2025-08-04T18:27:41" u="1"/>
        <d v="2025-08-04T19:34:30" u="1"/>
        <d v="2025-08-04T20:07:50" u="1"/>
        <d v="2025-08-04T21:55:24" u="1"/>
        <d v="2025-08-04T21:56:31" u="1"/>
        <d v="2025-08-04T22:01:31" u="1"/>
        <d v="2025-08-05T00:00:42" u="1"/>
        <d v="2025-08-05T00:24:51" u="1"/>
        <d v="2025-08-05T00:49:16" u="1"/>
        <d v="2025-08-05T01:10:56" u="1"/>
        <d v="2025-08-05T01:18:17" u="1"/>
        <d v="2025-08-05T01:26:34" u="1"/>
        <d v="2025-08-05T02:00:22" u="1"/>
        <d v="2025-08-05T02:20:09" u="1"/>
        <d v="2025-08-05T03:28:34" u="1"/>
        <d v="2025-08-05T04:28:13" u="1"/>
        <d v="2025-08-05T05:19:52" u="1"/>
        <d v="2025-08-05T05:32:29" u="1"/>
        <d v="2025-08-05T06:12:29" u="1"/>
        <d v="2025-08-05T06:18:37" u="1"/>
        <d v="2025-08-05T06:37:34" u="1"/>
        <d v="2025-08-05T06:45:32" u="1"/>
        <d v="2025-08-05T06:50:53" u="1"/>
        <d v="2025-08-05T07:18:55" u="1"/>
        <d v="2025-08-05T07:18:57" u="1"/>
        <d v="2025-08-05T08:08:16" u="1"/>
        <d v="2025-08-05T08:16:58" u="1"/>
        <d v="2025-08-05T08:30:04" u="1"/>
        <d v="2025-08-05T09:16:24" u="1"/>
        <d v="2025-08-05T10:01:59" u="1"/>
        <d v="2025-08-05T12:46:25" u="1"/>
        <d v="2025-08-05T13:36:33" u="1"/>
        <d v="2025-08-06T00:01:05" u="1"/>
        <d v="2025-08-06T00:44:24" u="1"/>
        <d v="2025-08-06T01:01:13" u="1"/>
        <d v="2025-08-06T01:05:30" u="1"/>
        <d v="2025-08-06T01:43:49" u="1"/>
        <d v="2025-08-06T01:54:50" u="1"/>
        <d v="2025-08-06T01:57:13" u="1"/>
        <d v="2025-08-06T02:01:24" u="1"/>
        <d v="2025-08-06T02:04:26" u="1"/>
        <d v="2025-08-06T02:11:13" u="1"/>
        <d v="2025-08-06T02:36:52" u="1"/>
        <d v="2025-08-06T02:58:08" u="1"/>
        <d v="2025-08-06T03:38:57" u="1"/>
        <d v="2025-08-06T03:55:38" u="1"/>
        <d v="2025-08-06T04:23:15" u="1"/>
        <d v="2025-08-06T04:57:19" u="1"/>
        <d v="2025-08-06T05:03:27" u="1"/>
        <d v="2025-08-06T05:05:34" u="1"/>
        <d v="2025-08-06T05:37:38" u="1"/>
        <d v="2025-08-06T05:38:33" u="1"/>
        <d v="2025-08-06T05:45:47" u="1"/>
        <d v="2025-08-06T06:16:26" u="1"/>
        <d v="2025-08-06T06:42:08" u="1"/>
        <d v="2025-08-06T06:52:46" u="1"/>
        <d v="2025-08-06T07:01:12" u="1"/>
        <d v="2025-08-06T07:09:51" u="1"/>
        <d v="2025-08-06T07:59:43" u="1"/>
        <d v="2025-08-06T08:03:40" u="1"/>
        <d v="2025-08-06T09:10:33" u="1"/>
        <d v="2025-08-06T10:38:50" u="1"/>
        <d v="2025-08-06T13:16:22" u="1"/>
        <d v="2025-08-06T13:20:03" u="1"/>
        <d v="2025-08-06T14:06:45" u="1"/>
        <d v="2025-08-06T14:10:40" u="1"/>
        <d v="2025-08-06T15:08:16" u="1"/>
        <d v="2025-08-06T16:14:00" u="1"/>
        <d v="2025-08-06T17:16:42" u="1"/>
        <d v="2025-08-06T21:17:04" u="1"/>
        <d v="2025-08-06T21:48:00" u="1"/>
        <d v="2025-08-06T22:15:42" u="1"/>
        <d v="2025-08-06T22:44:37" u="1"/>
        <d v="2025-08-06T22:47:15" u="1"/>
        <d v="2025-08-06T22:50:51" u="1"/>
        <d v="2025-08-06T23:07:04" u="1"/>
        <d v="2025-08-06T23:10:18" u="1"/>
        <d v="2025-08-06T23:47:17" u="1"/>
        <d v="2025-08-06T23:59:23" u="1"/>
        <d v="2025-08-07T00:00:57" u="1"/>
        <d v="2025-08-07T00:11:23" u="1"/>
        <d v="2025-08-07T00:21:13" u="1"/>
        <d v="2025-08-07T00:47:59" u="1"/>
        <d v="2025-08-07T01:04:58" u="1"/>
        <d v="2025-08-07T01:05:06" u="1"/>
        <d v="2025-08-07T01:08:50" u="1"/>
        <d v="2025-08-07T01:39:21" u="1"/>
        <d v="2025-08-07T01:54:21" u="1"/>
        <d v="2025-08-07T02:01:48" u="1"/>
        <d v="2025-08-07T02:22:48" u="1"/>
        <d v="2025-08-07T02:30:17" u="1"/>
        <d v="2025-08-07T02:56:31" u="1"/>
        <d v="2025-08-07T03:03:28" u="1"/>
        <d v="2025-08-07T03:06:04" u="1"/>
        <d v="2025-08-07T03:18:55" u="1"/>
        <d v="2025-08-07T03:47:29" u="1"/>
        <d v="2025-08-07T03:49:32" u="1"/>
        <d v="2025-08-07T03:55:33" u="1"/>
        <d v="2025-08-07T03:57:03" u="1"/>
        <d v="2025-08-07T04:00:04" u="1"/>
        <d v="2025-08-07T04:24:00" u="1"/>
        <d v="2025-08-07T04:36:25" u="1"/>
        <d v="2025-08-07T04:57:27" u="1"/>
        <d v="2025-08-07T05:04:53" u="1"/>
        <d v="2025-08-07T05:10:58" u="1"/>
        <d v="2025-08-07T06:19:13" u="1"/>
        <d v="2025-08-07T06:28:40" u="1"/>
        <d v="2025-08-07T06:32:56" u="1"/>
        <d v="2025-08-07T06:42:21" u="1"/>
        <d v="2025-08-07T06:57:02" u="1"/>
        <d v="2025-08-07T07:02:13" u="1"/>
        <d v="2025-08-07T07:12:33" u="1"/>
        <d v="2025-08-07T07:24:46" u="1"/>
        <d v="2025-08-07T07:37:33" u="1"/>
        <d v="2025-08-07T07:54:19" u="1"/>
        <d v="2025-08-07T09:40:43" u="1"/>
        <d v="2025-08-07T09:46:13" u="1"/>
        <d v="2025-08-07T09:51:23" u="1"/>
        <d v="2025-08-07T11:17:31" u="1"/>
        <d v="2025-08-07T12:08:41" u="1"/>
        <d v="2025-08-07T12:14:11" u="1"/>
        <d v="2025-08-07T13:02:26" u="1"/>
        <d v="2025-08-07T14:36:03" u="1"/>
        <d v="2025-08-07T15:25:12" u="1"/>
        <d v="2025-08-07T23:10:25" u="1"/>
        <d v="2025-08-07T23:31:07" u="1"/>
        <d v="2025-08-08T00:43:46" u="1"/>
        <d v="2025-08-08T01:00:49" u="1"/>
        <d v="2025-08-08T01:03:08" u="1"/>
        <d v="2025-08-08T01:05:59" u="1"/>
        <d v="2025-08-08T01:35:41" u="1"/>
        <d v="2025-08-08T01:56:18" u="1"/>
        <d v="2025-08-08T02:04:02" u="1"/>
        <d v="2025-08-08T02:15:14" u="1"/>
        <d v="2025-08-08T02:18:15" u="1"/>
        <d v="2025-08-08T03:06:36" u="1"/>
        <d v="2025-08-08T03:44:17" u="1"/>
        <d v="2025-08-08T04:02:21" u="1"/>
        <d v="2025-08-08T04:09:52" u="1"/>
        <d v="2025-08-08T05:21:43" u="1"/>
        <d v="2025-08-08T05:30:04" u="1"/>
        <d v="2025-08-08T05:31:07" u="1"/>
        <d v="2025-08-08T08:35:14" u="1"/>
        <d v="2025-08-08T10:55:10" u="1"/>
        <d v="2025-08-08T11:00:46" u="1"/>
        <d v="2025-08-08T11:55:35" u="1"/>
        <d v="2025-08-08T12:00:12" u="1"/>
        <d v="2025-08-08T12:13:13" u="1"/>
        <d v="2025-08-08T12:47:58" u="1"/>
        <d v="2025-08-08T13:20:52" u="1"/>
        <d v="2025-08-08T13:39:25" u="1"/>
        <d v="2025-08-08T14:12:53" u="1"/>
        <d v="2025-08-08T16:53:50" u="1"/>
        <d v="2025-08-08T20:51:54" u="1"/>
        <d v="2025-08-08T20:53:19" u="1"/>
        <d v="2025-08-08T22:19:12" u="1"/>
        <d v="2025-08-09T00:51:05" u="1"/>
        <d v="2025-08-09T00:55:45" u="1"/>
        <d v="2025-08-09T01:04:26" u="1"/>
        <d v="2025-08-09T02:58:59" u="1"/>
        <d v="2025-08-09T03:04:08" u="1"/>
        <d v="2025-08-09T06:56:25" u="1"/>
        <d v="2025-08-09T10:45:30" u="1"/>
        <d v="2025-08-09T10:48:46" u="1"/>
        <d v="2025-08-09T10:49:37" u="1"/>
        <d v="2025-08-09T11:42:26" u="1"/>
        <d v="2025-08-09T12:49:46" u="1"/>
        <d v="2025-08-09T13:04:49" u="1"/>
        <d v="2025-08-09T13:15:55" u="1"/>
        <d v="2025-08-09T14:51:28" u="1"/>
        <d v="2025-08-09T14:51:29" u="1"/>
        <d v="2025-08-09T14:51:46" u="1"/>
        <d v="2025-08-09T15:58:40" u="1"/>
        <d v="2025-08-09T16:19:09" u="1"/>
        <d v="2025-08-09T17:37:14" u="1"/>
        <d v="2025-08-09T21:01:34" u="1"/>
        <d v="2025-08-09T22:27:53" u="1"/>
        <d v="2025-08-09T22:57:56" u="1"/>
        <d v="2025-08-09T22:59:46" u="1"/>
        <d v="2025-08-10T01:08:08" u="1"/>
        <d v="2025-08-10T02:32:52" u="1"/>
        <d v="2025-08-10T04:57:53" u="1"/>
        <d v="2025-08-10T06:33:40" u="1"/>
        <d v="2025-08-10T07:37:58" u="1"/>
        <d v="2025-08-10T10:47:29" u="1"/>
        <d v="2025-08-10T10:47:36" u="1"/>
        <d v="2025-08-10T11:30:23" u="1"/>
        <d v="2025-08-10T14:05:13" u="1"/>
        <d v="2025-08-10T14:09:04" u="1"/>
        <d v="2025-08-10T15:55:44" u="1"/>
        <d v="2025-08-10T15:57:06" u="1"/>
        <d v="2025-08-10T19:09:30" u="1"/>
        <d v="2025-08-10T19:33:50" u="1"/>
        <d v="2025-08-10T19:55:48" u="1"/>
        <d v="2025-08-10T23:19:23" u="1"/>
        <d v="2025-08-11T00:38:11" u="1"/>
        <d v="2025-08-11T03:38:27" u="1"/>
        <d v="2025-08-11T03:45:07" u="1"/>
        <d v="2025-08-11T04:35:38" u="1"/>
        <d v="2025-08-11T04:47:16" u="1"/>
        <d v="2025-08-11T04:56:35" u="1"/>
        <d v="2025-08-11T05:02:04" u="1"/>
        <d v="2025-08-11T05:17:46" u="1"/>
        <d v="2025-08-11T06:11:07" u="1"/>
        <d v="2025-08-11T09:53:19" u="1"/>
        <d v="2025-08-11T10:49:45" u="1"/>
        <d v="2025-08-11T13:29:44" u="1"/>
        <d v="2025-08-11T14:46:33" u="1"/>
        <d v="2025-08-11T16:01:46" u="1"/>
        <d v="2025-08-11T18:45:27" u="1"/>
        <d v="2025-08-11T21:44:29" u="1"/>
        <d v="2025-08-12T00:07:54" u="1"/>
        <d v="2025-08-12T00:34:46" u="1"/>
        <d v="2025-08-12T00:43:08" u="1"/>
        <d v="2025-08-12T01:05:39" u="1"/>
        <d v="2025-08-12T01:05:54" u="1"/>
        <d v="2025-08-12T01:21:12" u="1"/>
        <d v="2025-08-12T03:12:58" u="1"/>
        <d v="2025-08-12T03:15:51" u="1"/>
        <d v="2025-08-12T03:26:56" u="1"/>
        <d v="2025-08-12T04:29:07" u="1"/>
        <d v="2025-08-12T04:49:37" u="1"/>
        <d v="2025-08-12T04:51:36" u="1"/>
        <d v="2025-08-12T04:54:04" u="1"/>
        <d v="2025-08-12T05:29:00" u="1"/>
        <d v="2025-08-12T05:30:13" u="1"/>
        <d v="2025-08-12T05:49:06" u="1"/>
        <d v="2025-08-12T06:43:05" u="1"/>
        <d v="2025-08-12T07:30:32" u="1"/>
        <d v="2025-08-12T07:40:50" u="1"/>
        <d v="2025-08-12T07:53:54" u="1"/>
        <d v="2025-08-12T08:25:19" u="1"/>
        <d v="2025-08-12T09:20:32" u="1"/>
        <d v="2025-08-12T09:46:37" u="1"/>
        <d v="2025-08-12T09:59:27" u="1"/>
        <d v="2025-08-12T09:59:48" u="1"/>
        <d v="2025-08-12T10:00:56" u="1"/>
        <d v="2025-08-12T10:01:03" u="1"/>
        <d v="2025-08-12T10:13:41" u="1"/>
        <d v="2025-08-12T10:14:22" u="1"/>
        <d v="2025-08-12T10:40:19" u="1"/>
        <d v="2025-08-12T10:40:58" u="1"/>
        <d v="2025-08-12T10:43:50" u="1"/>
        <d v="2025-08-12T10:58:18" u="1"/>
        <d v="2025-08-12T11:02:01" u="1"/>
        <d v="2025-08-12T11:04:33" u="1"/>
        <d v="2025-08-12T11:05:10" u="1"/>
        <d v="2025-08-12T11:08:12" u="1"/>
        <d v="2025-08-12T11:35:14" u="1"/>
        <d v="2025-08-12T12:13:00" u="1"/>
        <d v="2025-08-12T13:10:23" u="1"/>
        <d v="2025-08-12T13:17:18" u="1"/>
        <d v="2025-08-12T13:43:00" u="1"/>
        <d v="2025-08-12T13:43:02" u="1"/>
        <d v="2025-08-12T13:43:04" u="1"/>
        <d v="2025-08-12T13:43:16" u="1"/>
        <d v="2025-08-12T13:43:17" u="1"/>
        <d v="2025-08-12T13:43:20" u="1"/>
        <d v="2025-08-12T13:43:27" u="1"/>
        <d v="2025-08-12T13:46:19" u="1"/>
        <d v="2025-08-12T13:46:25" u="1"/>
        <d v="2025-08-12T13:46:41" u="1"/>
        <d v="2025-08-12T13:46:58" u="1"/>
        <d v="2025-08-12T13:47:12" u="1"/>
        <d v="2025-08-12T13:48:21" u="1"/>
        <d v="2025-08-12T14:02:43" u="1"/>
        <d v="2025-08-12T14:25:43" u="1"/>
        <d v="2025-08-12T14:35:46" u="1"/>
        <d v="2025-08-12T15:32:06" u="1"/>
        <d v="2025-08-12T17:25:32" u="1"/>
        <d v="2025-08-12T20:35:51" u="1"/>
        <d v="2025-08-12T22:33:48" u="1"/>
        <d v="2025-08-12T23:11:14" u="1"/>
        <d v="2025-08-12T23:55:47" u="1"/>
        <d v="2025-08-13T00:13:10" u="1"/>
        <d v="2025-08-13T00:13:35" u="1"/>
        <d v="2025-08-13T00:32:07" u="1"/>
        <d v="2025-08-13T01:30:31" u="1"/>
        <d v="2025-08-13T01:39:46" u="1"/>
        <d v="2025-08-13T02:44:30" u="1"/>
        <d v="2025-08-13T03:36:32" u="1"/>
        <d v="2025-08-13T04:04:13" u="1"/>
        <d v="2025-08-13T04:05:02" u="1"/>
        <d v="2025-08-13T04:28:14" u="1"/>
        <d v="2025-08-13T04:30:50" u="1"/>
        <d v="2025-08-13T05:25:57" u="1"/>
        <d v="2025-08-13T05:34:42" u="1"/>
        <d v="2025-08-13T05:36:29" u="1"/>
        <d v="2025-08-13T05:38:00" u="1"/>
        <d v="2025-08-13T05:38:03" u="1"/>
        <d v="2025-08-13T05:43:54" u="1"/>
        <d v="2025-08-13T06:15:09" u="1"/>
        <d v="2025-08-13T06:29:31" u="1"/>
        <d v="2025-08-13T06:35:26" u="1"/>
        <d v="2025-08-13T06:35:55" u="1"/>
        <d v="2025-08-13T07:20:14" u="1"/>
        <d v="2025-08-13T07:42:09" u="1"/>
        <d v="2025-08-13T07:42:14" u="1"/>
        <d v="2025-08-13T07:43:08" u="1"/>
        <d v="2025-08-13T08:43:38" u="1"/>
        <d v="2025-08-13T09:20:07" u="1"/>
        <d v="2025-08-13T10:14:03" u="1"/>
        <d v="2025-08-13T10:18:44" u="1"/>
        <d v="2025-08-13T10:37:02" u="1"/>
        <d v="2025-08-13T11:48:43" u="1"/>
        <d v="2025-08-13T12:22:21" u="1"/>
        <d v="2025-08-13T12:22:36" u="1"/>
        <d v="2025-08-13T12:23:07" u="1"/>
        <d v="2025-08-13T12:25:10" u="1"/>
        <d v="2025-08-13T12:25:18" u="1"/>
        <d v="2025-08-13T12:25:33" u="1"/>
        <d v="2025-08-13T12:30:54" u="1"/>
        <d v="2025-08-13T14:57:03" u="1"/>
        <d v="2025-08-13T15:51:49" u="1"/>
        <d v="2025-08-13T15:53:34" u="1"/>
        <d v="2025-08-13T19:14:05" u="1"/>
        <d v="2025-08-13T19:15:17" u="1"/>
        <d v="2025-08-13T19:23:51" u="1"/>
        <d v="2025-08-13T19:57:21" u="1"/>
        <d v="2025-08-13T21:05:38" u="1"/>
        <d v="2025-08-13T21:53:46" u="1"/>
        <d v="2025-08-13T22:06:03" u="1"/>
        <d v="2025-08-13T22:12:07" u="1"/>
        <d v="2025-08-13T22:14:07" u="1"/>
        <d v="2025-08-13T23:04:45" u="1"/>
        <d v="2025-08-13T23:43:09" u="1"/>
        <d v="2025-08-13T23:50:33" u="1"/>
        <d v="2025-08-13T23:52:22" u="1"/>
        <d v="2025-08-14T00:09:17" u="1"/>
        <d v="2025-08-14T00:13:55" u="1"/>
        <d v="2025-08-14T00:35:35" u="1"/>
        <d v="2025-08-14T01:04:44" u="1"/>
        <d v="2025-08-14T01:05:56" u="1"/>
        <d v="2025-08-14T01:06:59" u="1"/>
        <d v="2025-08-14T01:18:09" u="1"/>
        <d v="2025-08-14T01:22:24" u="1"/>
        <d v="2025-08-14T01:24:35" u="1"/>
        <d v="2025-08-14T01:25:38" u="1"/>
        <d v="2025-08-14T01:54:21" u="1"/>
        <d v="2025-08-14T02:01:02" u="1"/>
        <d v="2025-08-14T02:05:50" u="1"/>
        <d v="2025-08-14T02:07:58" u="1"/>
        <d v="2025-08-14T02:47:30" u="1"/>
        <d v="2025-08-14T02:50:29" u="1"/>
        <d v="2025-08-14T03:09:34" u="1"/>
        <d v="2025-08-14T03:47:28" u="1"/>
        <d v="2025-08-14T03:48:51" u="1"/>
        <d v="2025-08-14T05:03:46" u="1"/>
        <d v="2025-08-14T05:27:16" u="1"/>
        <d v="2025-08-14T05:27:18" u="1"/>
        <d v="2025-08-14T05:32:31" u="1"/>
        <d v="2025-08-14T06:00:13" u="1"/>
        <d v="2025-08-14T06:10:08" u="1"/>
        <d v="2025-08-14T06:10:49" u="1"/>
        <d v="2025-08-14T06:21:37" u="1"/>
        <d v="2025-08-14T06:42:29" u="1"/>
        <d v="2025-08-14T06:51:30" u="1"/>
        <d v="2025-08-14T07:44:53" u="1"/>
        <d v="2025-08-14T08:50:53" u="1"/>
        <d v="2025-08-14T08:51:04" u="1"/>
        <d v="2025-08-14T09:05:36" u="1"/>
        <d v="2025-08-14T10:00:47" u="1"/>
        <d v="2025-08-14T11:43:37" u="1"/>
        <d v="2025-08-14T11:51:30" u="1"/>
        <d v="2025-08-14T12:26:21" u="1"/>
        <d v="2025-08-14T16:00:00" u="1"/>
        <d v="2025-08-14T16:00:32" u="1"/>
        <d v="2025-08-14T16:10:17" u="1"/>
        <d v="2025-08-14T16:11:19" u="1"/>
        <d v="2025-08-14T16:25:23" u="1"/>
        <d v="2025-08-14T17:31:00" u="1"/>
        <d v="2025-08-14T18:06:57" u="1"/>
        <d v="2025-08-14T19:01:16" u="1"/>
        <d v="2025-08-14T19:47:29" u="1"/>
        <d v="2025-08-14T23:45:53" u="1"/>
        <d v="2025-08-15T00:45:19" u="1"/>
        <d v="2025-08-15T01:05:54" u="1"/>
        <d v="2025-08-15T01:15:32" u="1"/>
        <d v="2025-08-15T01:18:31" u="1"/>
        <d v="2025-08-15T01:40:04" u="1"/>
        <d v="2025-08-15T01:41:17" u="1"/>
        <d v="2025-08-15T01:49:57" u="1"/>
        <d v="2025-08-15T02:03:52" u="1"/>
        <d v="2025-08-15T02:05:48" u="1"/>
        <d v="2025-08-15T02:10:46" u="1"/>
        <d v="2025-08-15T02:41:43" u="1"/>
        <d v="2025-08-15T02:53:10" u="1"/>
        <d v="2025-08-15T02:59:34" u="1"/>
        <d v="2025-08-15T03:00:23" u="1"/>
        <d v="2025-08-15T03:03:03" u="1"/>
        <d v="2025-08-15T03:10:56" u="1"/>
        <d v="2025-08-15T03:23:51" u="1"/>
        <d v="2025-08-15T03:52:46" u="1"/>
        <d v="2025-08-15T04:06:00" u="1"/>
        <d v="2025-08-15T04:22:20" u="1"/>
        <d v="2025-08-15T04:30:02" u="1"/>
        <d v="2025-08-15T04:41:15" u="1"/>
        <d v="2025-08-15T04:46:12" u="1"/>
        <d v="2025-08-15T05:19:08" u="1"/>
        <d v="2025-08-15T05:40:04" u="1"/>
        <d v="2025-08-15T06:18:02" u="1"/>
        <d v="2025-08-15T07:37:51" u="1"/>
        <d v="2025-08-15T07:47:26" u="1"/>
        <d v="2025-08-15T08:03:42" u="1"/>
        <d v="2025-08-15T08:49:50" u="1"/>
        <d v="2025-08-15T08:57:46" u="1"/>
        <d v="2025-08-15T09:14:45" u="1"/>
        <d v="2025-08-15T09:23:00" u="1"/>
        <d v="2025-08-15T09:33:44" u="1"/>
        <d v="2025-08-15T10:16:22" u="1"/>
        <d v="2025-08-15T10:19:38" u="1"/>
        <d v="2025-08-15T11:39:22" u="1"/>
        <d v="2025-08-15T12:18:33" u="1"/>
        <d v="2025-08-15T12:19:39" u="1"/>
        <d v="2025-08-15T12:56:41" u="1"/>
        <d v="2025-08-15T13:09:50" u="1"/>
        <d v="2025-08-15T13:10:00" u="1"/>
        <d v="2025-08-15T14:25:49" u="1"/>
        <d v="2025-08-15T15:06:52" u="1"/>
        <d v="2025-08-15T15:34:24" u="1"/>
        <d v="2025-08-15T17:32:37" u="1"/>
        <d v="2025-08-15T21:12:33" u="1"/>
        <d v="2025-08-15T21:16:21" u="1"/>
        <d v="2025-08-15T21:19:13" u="1"/>
        <d v="2025-08-15T21:56:08" u="1"/>
        <d v="2025-08-15T22:05:42" u="1"/>
        <d v="2025-08-15T22:41:52" u="1"/>
        <d v="2025-08-15T22:55:09" u="1"/>
        <d v="2025-08-15T23:11:27" u="1"/>
        <d v="2025-08-15T23:23:02" u="1"/>
        <d v="2025-08-15T23:26:48" u="1"/>
        <d v="2025-08-15T23:45:00" u="1"/>
        <d v="2025-08-16T00:37:45" u="1"/>
        <d v="2025-08-16T00:40:00" u="1"/>
        <d v="2025-08-16T01:27:56" u="1"/>
        <d v="2025-08-16T02:04:41" u="1"/>
        <d v="2025-08-16T02:13:04" u="1"/>
        <d v="2025-08-16T02:56:39" u="1"/>
        <d v="2025-08-16T02:57:52" u="1"/>
        <d v="2025-08-16T03:04:10" u="1"/>
        <d v="2025-08-16T03:25:27" u="1"/>
        <d v="2025-08-16T03:45:35" u="1"/>
        <d v="2025-08-16T03:55:11" u="1"/>
        <d v="2025-08-16T04:08:41" u="1"/>
        <d v="2025-08-16T04:36:33" u="1"/>
        <d v="2025-08-16T04:38:01" u="1"/>
        <d v="2025-08-16T05:17:08" u="1"/>
        <d v="2025-08-16T06:18:22" u="1"/>
        <d v="2025-08-16T06:18:31" u="1"/>
        <d v="2025-08-16T06:20:17" u="1"/>
        <d v="2025-08-16T06:45:40" u="1"/>
        <d v="2025-08-16T07:20:49" u="1"/>
        <d v="2025-08-16T07:25:41" u="1"/>
        <d v="2025-08-16T07:26:25" u="1"/>
        <d v="2025-08-16T07:56:20" u="1"/>
        <d v="2025-08-16T08:18:27" u="1"/>
        <d v="2025-08-16T08:53:16" u="1"/>
        <d v="2025-08-16T10:29:48" u="1"/>
        <d v="2025-08-16T10:37:04" u="1"/>
        <d v="2025-08-16T10:43:42" u="1"/>
        <d v="2025-08-16T10:56:48" u="1"/>
        <d v="2025-08-16T11:24:48" u="1"/>
        <d v="2025-08-16T11:37:10" u="1"/>
        <d v="2025-08-16T11:59:59" u="1"/>
        <d v="2025-08-16T12:23:41" u="1"/>
        <d v="2025-08-16T12:37:07" u="1"/>
        <d v="2025-08-16T12:39:11" u="1"/>
        <d v="2025-08-16T12:40:17" u="1"/>
        <d v="2025-08-16T12:53:12" u="1"/>
        <d v="2025-08-16T14:03:21" u="1"/>
        <d v="2025-08-16T14:07:51" u="1"/>
        <d v="2025-08-16T14:08:17" u="1"/>
        <d v="2025-08-16T15:07:07" u="1"/>
        <d v="2025-08-16T15:52:11" u="1"/>
        <d v="2025-08-16T16:03:46" u="1"/>
        <d v="2025-08-16T16:06:30" u="1"/>
        <d v="2025-08-16T16:07:36" u="1"/>
        <d v="2025-08-16T16:40:37" u="1"/>
        <d v="2025-08-16T16:56:50" u="1"/>
        <d v="2025-08-16T16:57:33" u="1"/>
        <d v="2025-08-16T17:54:42" u="1"/>
        <d v="2025-08-16T18:50:51" u="1"/>
        <d v="2025-08-16T22:03:42" u="1"/>
        <d v="2025-08-17T00:17:35" u="1"/>
        <d v="2025-08-17T01:19:23" u="1"/>
        <d v="2025-08-17T01:50:38" u="1"/>
        <d v="2025-08-17T02:02:42" u="1"/>
        <d v="2025-08-17T02:14:52" u="1"/>
        <d v="2025-08-17T02:44:15" u="1"/>
        <d v="2025-08-17T02:46:58" u="1"/>
        <d v="2025-08-17T02:52:32" u="1"/>
        <d v="2025-08-17T02:58:19" u="1"/>
        <d v="2025-08-17T02:59:00" u="1"/>
        <d v="2025-08-17T03:00:00" u="1"/>
        <d v="2025-08-17T03:00:32" u="1"/>
        <d v="2025-08-17T03:10:31" u="1"/>
        <d v="2025-08-17T03:10:38" u="1"/>
        <d v="2025-08-17T03:11:11" u="1"/>
        <d v="2025-08-17T03:13:19" u="1"/>
        <d v="2025-08-17T03:17:11" u="1"/>
        <d v="2025-08-17T03:47:44" u="1"/>
        <d v="2025-08-17T04:30:46" u="1"/>
        <d v="2025-08-17T04:58:12" u="1"/>
        <d v="2025-08-17T05:02:06" u="1"/>
        <d v="2025-08-17T05:02:46" u="1"/>
        <d v="2025-08-17T05:04:50" u="1"/>
        <d v="2025-08-17T05:07:04" u="1"/>
        <d v="2025-08-17T05:22:12" u="1"/>
        <d v="2025-08-17T07:31:32" u="1"/>
        <d v="2025-08-17T07:34:33" u="1"/>
        <d v="2025-08-17T07:37:27" u="1"/>
        <d v="2025-08-17T07:54:30" u="1"/>
        <d v="2025-08-17T07:56:03" u="1"/>
        <d v="2025-08-17T08:36:12" u="1"/>
        <d v="2025-08-17T12:04:13" u="1"/>
        <d v="2025-08-17T13:04:53" u="1"/>
        <d v="2025-08-17T13:19:59" u="1"/>
        <d v="2025-08-17T13:23:32" u="1"/>
        <d v="2025-08-17T14:07:26" u="1"/>
        <d v="2025-08-17T17:48:08" u="1"/>
        <d v="2025-08-17T19:06:06" u="1"/>
        <d v="2025-08-17T19:06:08" u="1"/>
        <d v="2025-08-17T19:08:56" u="1"/>
        <d v="2025-08-17T19:09:45" u="1"/>
        <d v="2025-08-17T19:10:54" u="1"/>
        <d v="2025-08-17T19:11:29" u="1"/>
        <d v="2025-08-17T19:32:11" u="1"/>
        <d v="2025-08-17T19:32:47" u="1"/>
        <d v="2025-08-17T19:37:21" u="1"/>
        <d v="2025-08-17T19:39:11" u="1"/>
        <d v="2025-08-17T19:39:25" u="1"/>
        <d v="2025-08-17T19:47:05" u="1"/>
        <d v="2025-08-17T19:47:37" u="1"/>
        <d v="2025-08-17T20:01:06" u="1"/>
        <d v="2025-08-17T23:38:39" u="1"/>
        <d v="2025-08-17T23:39:24" u="1"/>
        <d v="2025-08-18T00:53:02" u="1"/>
        <d v="2025-08-18T01:22:19" u="1"/>
        <d v="2025-08-18T02:41:27" u="1"/>
        <d v="2025-08-18T04:52:59" u="1"/>
        <d v="2025-08-18T04:56:34" u="1"/>
        <d v="2025-08-18T05:00:27" u="1"/>
        <d v="2025-08-18T06:13:58" u="1"/>
        <d v="2025-08-18T10:14:36" u="1"/>
        <d v="2025-08-18T11:11:47" u="1"/>
        <d v="2025-08-18T11:16:26" u="1"/>
        <d v="2025-08-18T12:09:37" u="1"/>
        <d v="2025-08-18T12:42:25" u="1"/>
        <d v="2025-08-18T12:51:21" u="1"/>
        <d v="2025-08-18T13:18:58" u="1"/>
        <d v="2025-08-18T13:46:44" u="1"/>
        <d v="2025-08-18T14:31:57" u="1"/>
        <d v="2025-08-18T21:45:22" u="1"/>
        <d v="2025-08-18T23:33:53" u="1"/>
        <d v="2025-08-18T23:40:50" u="1"/>
        <d v="2025-08-19T00:34:05" u="1"/>
        <d v="2025-08-19T01:18:34" u="1"/>
        <d v="2025-08-19T01:27:20" u="1"/>
        <d v="2025-08-19T01:29:50" u="1"/>
        <d v="2025-08-19T01:33:37" u="1"/>
        <d v="2025-08-19T01:36:03" u="1"/>
        <d v="2025-08-19T01:41:14" u="1"/>
        <d v="2025-08-19T02:10:11" u="1"/>
        <d v="2025-08-19T02:24:13" u="1"/>
        <d v="2025-08-19T02:31:30" u="1"/>
        <d v="2025-08-19T02:45:32" u="1"/>
        <d v="2025-08-19T03:08:17" u="1"/>
        <d v="2025-08-19T04:24:31" u="1"/>
        <d v="2025-08-19T05:13:22" u="1"/>
        <d v="2025-08-19T05:35:11" u="1"/>
        <d v="2025-08-19T05:52:01" u="1"/>
        <d v="2025-08-19T05:52:28" u="1"/>
        <d v="2025-08-19T06:00:10" u="1"/>
        <d v="2025-08-19T06:02:19" u="1"/>
        <d v="2025-08-19T06:02:22" u="1"/>
        <d v="2025-08-19T06:08:56" u="1"/>
        <d v="2025-08-19T06:14:19" u="1"/>
        <d v="2025-08-19T06:37:38" u="1"/>
        <d v="2025-08-19T07:22:22" u="1"/>
        <d v="2025-08-19T07:29:31" u="1"/>
        <d v="2025-08-19T07:31:03" u="1"/>
        <d v="2025-08-19T07:57:58" u="1"/>
        <d v="2025-08-19T08:41:59" u="1"/>
        <d v="2025-08-19T08:48:56" u="1"/>
        <d v="2025-08-19T09:19:17" u="1"/>
        <d v="2025-08-19T09:32:43" u="1"/>
        <d v="2025-08-19T10:16:28" u="1"/>
        <d v="2025-08-19T11:25:31" u="1"/>
        <d v="2025-08-19T11:25:32" u="1"/>
        <d v="2025-08-19T11:25:42" u="1"/>
        <d v="2025-08-19T11:25:46" u="1"/>
        <d v="2025-08-19T11:25:48" u="1"/>
        <d v="2025-08-19T11:26:05" u="1"/>
        <d v="2025-08-19T11:28:54" u="1"/>
        <d v="2025-08-19T13:08:55" u="1"/>
        <d v="2025-08-19T17:15:40" u="1"/>
        <d v="2025-08-19T20:02:13" u="1"/>
        <d v="2025-08-19T23:36:35" u="1"/>
        <d v="2025-08-19T23:54:50" u="1"/>
        <d v="2025-08-20T00:22:32" u="1"/>
        <d v="2025-08-20T00:27:09" u="1"/>
        <d v="2025-08-20T01:12:29" u="1"/>
        <d v="2025-08-20T01:46:30" u="1"/>
        <d v="2025-08-20T02:12:11" u="1"/>
        <d v="2025-08-20T02:16:35" u="1"/>
        <d v="2025-08-20T02:23:27" u="1"/>
        <d v="2025-08-20T02:56:31" u="1"/>
        <d v="2025-08-20T03:05:04" u="1"/>
        <d v="2025-08-20T03:08:37" u="1"/>
        <d v="2025-08-20T03:18:57" u="1"/>
        <d v="2025-08-20T03:22:38" u="1"/>
        <d v="2025-08-20T03:52:32" u="1"/>
        <d v="2025-08-20T04:00:12" u="1"/>
        <d v="2025-08-20T04:26:43" u="1"/>
        <d v="2025-08-20T04:28:15" u="1"/>
        <d v="2025-08-20T04:52:21" u="1"/>
        <d v="2025-08-20T05:05:14" u="1"/>
        <d v="2025-08-20T05:13:13" u="1"/>
        <d v="2025-08-20T05:19:18" u="1"/>
        <d v="2025-08-20T06:05:05" u="1"/>
        <d v="2025-08-20T06:36:55" u="1"/>
        <d v="2025-08-20T06:45:47" u="1"/>
        <d v="2025-08-20T06:46:16" u="1"/>
        <d v="2025-08-20T06:48:39" u="1"/>
        <d v="2025-08-20T07:00:27" u="1"/>
        <d v="2025-08-20T07:06:03" u="1"/>
        <d v="2025-08-20T07:37:16" u="1"/>
        <d v="2025-08-20T07:49:38" u="1"/>
        <d v="2025-08-20T07:51:23" u="1"/>
        <d v="2025-08-20T07:56:24" u="1"/>
        <d v="2025-08-20T08:21:06" u="1"/>
        <d v="2025-08-20T08:22:36" u="1"/>
        <d v="2025-08-20T08:40:48" u="1"/>
        <d v="2025-08-20T09:09:19" u="1"/>
        <d v="2025-08-20T09:15:51" u="1"/>
        <d v="2025-08-20T10:17:25" u="1"/>
        <d v="2025-08-20T10:25:40" u="1"/>
        <d v="2025-08-20T10:31:34" u="1"/>
        <d v="2025-08-20T11:32:27" u="1"/>
        <d v="2025-08-20T11:32:38" u="1"/>
        <d v="2025-08-20T11:41:44" u="1"/>
        <d v="2025-08-20T12:01:46" u="1"/>
        <d v="2025-08-20T12:12:38" u="1"/>
        <d v="2025-08-20T14:23:48" u="1"/>
        <d v="2025-08-20T22:04:28" u="1"/>
        <d v="2025-08-20T22:15:58" u="1"/>
        <d v="2025-08-20T22:26:39" u="1"/>
        <d v="2025-08-20T22:30:35" u="1"/>
        <d v="2025-08-20T22:45:37" u="1"/>
        <d v="2025-08-20T23:40:34" u="1"/>
        <d v="2025-08-20T23:44:35" u="1"/>
        <d v="2025-08-21T00:02:54" u="1"/>
        <d v="2025-08-21T00:29:17" u="1"/>
        <d v="2025-08-21T00:39:38" u="1"/>
        <d v="2025-08-21T00:40:01" u="1"/>
        <d v="2025-08-21T00:40:36" u="1"/>
        <d v="2025-08-21T02:15:17" u="1"/>
        <d v="2025-08-21T02:41:26" u="1"/>
        <d v="2025-08-21T03:01:09" u="1"/>
        <d v="2025-08-21T03:01:42" u="1"/>
        <d v="2025-08-21T03:04:08" u="1"/>
        <d v="2025-08-21T03:05:09" u="1"/>
        <d v="2025-08-21T03:09:45" u="1"/>
        <d v="2025-08-21T03:20:07" u="1"/>
        <d v="2025-08-21T03:29:11" u="1"/>
        <d v="2025-08-21T04:04:18" u="1"/>
        <d v="2025-08-21T04:05:52" u="1"/>
        <d v="2025-08-21T04:21:39" u="1"/>
        <d v="2025-08-21T04:22:37" u="1"/>
        <d v="2025-08-21T04:32:28" u="1"/>
        <d v="2025-08-21T05:03:51" u="1"/>
        <d v="2025-08-21T05:22:42" u="1"/>
        <d v="2025-08-21T05:25:39" u="1"/>
        <d v="2025-08-21T07:24:14" u="1"/>
        <d v="2025-08-21T07:39:31" u="1"/>
        <d v="2025-08-21T07:48:59" u="1"/>
        <d v="2025-08-21T07:57:16" u="1"/>
        <d v="2025-08-21T08:47:04" u="1"/>
        <d v="2025-08-21T10:21:58" u="1"/>
        <d v="2025-08-21T11:55:59" u="1"/>
        <d v="2025-08-21T14:13:41" u="1"/>
        <d v="2025-08-21T15:21:54" u="1"/>
        <d v="2025-08-21T15:57:40" u="1"/>
        <d v="2025-08-21T16:43:11" u="1"/>
        <d v="2025-08-21T18:15:03" u="1"/>
        <d v="2025-08-21T19:23:05" u="1"/>
        <d v="2025-08-21T20:11:41" u="1"/>
        <d v="2025-08-21T21:44:46" u="1"/>
        <d v="2025-08-21T22:52:59" u="1"/>
        <d v="2025-08-21T22:53:38" u="1"/>
        <d v="2025-08-21T22:53:59" u="1"/>
        <d v="2025-08-21T22:55:36" u="1"/>
        <d v="2025-08-22T00:24:02" u="1"/>
        <d v="2025-08-22T00:38:08" u="1"/>
        <d v="2025-08-22T00:59:10" u="1"/>
        <d v="2025-08-22T01:22:09" u="1"/>
        <d v="2025-08-22T01:52:13" u="1"/>
        <d v="2025-08-22T02:26:41" u="1"/>
        <d v="2025-08-22T02:58:05" u="1"/>
        <d v="2025-08-22T03:20:45" u="1"/>
        <d v="2025-08-22T03:27:44" u="1"/>
        <d v="2025-08-22T03:35:12" u="1"/>
        <d v="2025-08-22T03:57:40" u="1"/>
        <d v="2025-08-22T04:08:18" u="1"/>
        <d v="2025-08-22T04:34:53" u="1"/>
        <d v="2025-08-22T04:45:10" u="1"/>
        <d v="2025-08-22T04:55:24" u="1"/>
        <d v="2025-08-22T05:17:41" u="1"/>
        <d v="2025-08-22T05:25:01" u="1"/>
        <d v="2025-08-22T05:38:49" u="1"/>
        <d v="2025-08-22T05:45:46" u="1"/>
        <d v="2025-08-22T06:00:03" u="1"/>
        <d v="2025-08-22T06:00:21" u="1"/>
        <d v="2025-08-22T07:00:22" u="1"/>
        <d v="2025-08-22T07:11:38" u="1"/>
        <d v="2025-08-22T07:49:15" u="1"/>
        <d v="2025-08-22T09:57:56" u="1"/>
        <d v="2025-08-22T09:58:29" u="1"/>
        <d v="2025-08-22T12:47:00" u="1"/>
        <d v="2025-08-22T12:48:21" u="1"/>
        <d v="2025-08-22T12:51:04" u="1"/>
        <d v="2025-08-22T12:52:44" u="1"/>
        <d v="2025-08-22T12:55:15" u="1"/>
        <d v="2025-08-22T12:59:54" u="1"/>
        <d v="2025-08-22T13:05:48" u="1"/>
        <d v="2025-08-22T14:23:49" u="1"/>
        <d v="2025-08-22T14:40:06" u="1"/>
        <d v="2025-08-22T14:45:58" u="1"/>
        <d v="2025-08-22T14:46:23" u="1"/>
        <d v="2025-08-22T16:53:27" u="1"/>
        <d v="2025-08-22T17:13:42" u="1"/>
        <d v="2025-08-22T17:15:12" u="1"/>
        <d v="2025-08-22T17:53:38" u="1"/>
        <d v="2025-08-22T17:53:43" u="1"/>
        <d v="2025-08-22T20:44:14" u="1"/>
        <d v="2025-08-22T20:44:43" u="1"/>
        <d v="2025-08-22T20:59:23" u="1"/>
        <d v="2025-08-22T22:42:10" u="1"/>
        <d v="2025-08-22T23:18:02" u="1"/>
        <d v="2025-08-22T23:41:11" u="1"/>
        <d v="2025-08-22T23:59:38" u="1"/>
        <d v="2025-08-23T00:10:30" u="1"/>
        <d v="2025-08-23T02:07:26" u="1"/>
        <d v="2025-08-23T02:08:08" u="1"/>
        <d v="2025-08-23T02:38:55" u="1"/>
        <d v="2025-08-23T02:43:58" u="1"/>
        <d v="2025-08-23T02:59:07" u="1"/>
        <d v="2025-08-23T03:28:37" u="1"/>
        <d v="2025-08-23T03:56:27" u="1"/>
        <d v="2025-08-23T03:57:44" u="1"/>
        <d v="2025-08-23T04:22:22" u="1"/>
        <d v="2025-08-23T04:24:13" u="1"/>
        <d v="2025-08-23T04:25:56" u="1"/>
        <d v="2025-08-23T04:37:39" u="1"/>
        <d v="2025-08-23T05:00:37" u="1"/>
        <d v="2025-08-23T05:08:04" u="1"/>
        <d v="2025-08-23T05:17:02" u="1"/>
        <d v="2025-08-23T05:17:56" u="1"/>
        <d v="2025-08-23T06:12:19" u="1"/>
        <d v="2025-08-23T06:17:10" u="1"/>
        <d v="2025-08-23T07:23:45" u="1"/>
        <d v="2025-08-23T09:15:26" u="1"/>
        <d v="2025-08-23T09:35:26" u="1"/>
        <d v="2025-08-23T09:39:20" u="1"/>
        <d v="2025-08-23T10:13:00" u="1"/>
        <d v="2025-08-23T10:26:23" u="1"/>
        <d v="2025-08-23T10:46:01" u="1"/>
        <d v="2025-08-23T10:48:25" u="1"/>
        <d v="2025-08-23T11:12:38" u="1"/>
        <d v="2025-08-23T11:21:06" u="1"/>
        <d v="2025-08-23T11:23:48" u="1"/>
        <d v="2025-08-23T11:30:22" u="1"/>
        <d v="2025-08-23T12:03:42" u="1"/>
        <d v="2025-08-23T13:46:38" u="1"/>
        <d v="2025-08-23T15:08:05" u="1"/>
        <d v="2025-08-23T16:06:57" u="1"/>
        <d v="2025-08-23T16:16:09" u="1"/>
        <d v="2025-08-23T18:09:14" u="1"/>
        <d v="2025-08-23T18:16:47" u="1"/>
        <d v="2025-08-23T18:44:52" u="1"/>
        <d v="2025-08-23T21:49:43" u="1"/>
        <d v="2025-08-23T22:55:40" u="1"/>
        <d v="2025-08-24T02:37:04" u="1"/>
        <d v="2025-08-24T02:42:04" u="1"/>
        <d v="2025-08-24T04:24:08" u="1"/>
        <d v="2025-08-24T05:38:27" u="1"/>
        <d v="2025-08-24T07:56:44" u="1"/>
        <d v="2025-08-24T11:15:16" u="1"/>
        <d v="2025-08-24T11:45:01" u="1"/>
        <d v="2025-08-24T12:05:41" u="1"/>
        <d v="2025-08-24T12:05:44" u="1"/>
        <d v="2025-08-24T12:06:49" u="1"/>
        <d v="2025-08-24T12:09:12" u="1"/>
        <d v="2025-08-24T12:09:29" u="1"/>
        <d v="2025-08-24T12:09:33" u="1"/>
        <d v="2025-08-24T12:09:50" u="1"/>
        <d v="2025-08-24T12:10:09" u="1"/>
        <d v="2025-08-24T13:08:23" u="1"/>
        <d v="2025-08-24T13:12:52" u="1"/>
        <d v="2025-08-24T23:48:15" u="1"/>
        <d v="2025-08-25T00:24:12" u="1"/>
        <d v="2025-08-25T02:37:11" u="1"/>
        <d v="2025-08-25T03:00:37" u="1"/>
        <d v="2025-08-25T03:08:25" u="1"/>
        <d v="2025-08-25T03:18:56" u="1"/>
        <d v="2025-08-25T04:53:34" u="1"/>
        <d v="2025-08-25T06:10:09" u="1"/>
        <d v="2025-08-25T06:27:15" u="1"/>
        <d v="2025-08-25T08:46:51" u="1"/>
        <d v="2025-08-25T09:20:30" u="1"/>
        <d v="2025-08-25T09:46:40" u="1"/>
        <d v="2025-08-25T10:43:25" u="1"/>
        <d v="2025-08-25T13:27:17" u="1"/>
        <d v="2025-08-25T15:16:03" u="1"/>
        <d v="2025-08-25T16:28:26" u="1"/>
        <d v="2025-08-25T17:02:23" u="1"/>
        <d v="2025-08-25T17:09:18" u="1"/>
        <d v="2025-08-25T23:08:23" u="1"/>
        <d v="2025-08-25T23:53:05" u="1"/>
        <d v="2025-08-25T23:56:15" u="1"/>
        <d v="2025-08-26T00:22:30" u="1"/>
        <d v="2025-08-26T00:31:38" u="1"/>
        <d v="2025-08-26T00:37:55" u="1"/>
        <d v="2025-08-26T00:45:10" u="1"/>
        <d v="2025-08-26T01:50:05" u="1"/>
        <d v="2025-08-26T01:56:30" u="1"/>
        <d v="2025-08-26T02:30:33" u="1"/>
        <d v="2025-08-26T02:51:41" u="1"/>
        <d v="2025-08-26T03:30:05" u="1"/>
        <d v="2025-08-26T03:31:31" u="1"/>
        <d v="2025-08-26T04:37:40" u="1"/>
        <d v="2025-08-26T04:51:28" u="1"/>
        <d v="2025-08-26T04:54:49" u="1"/>
        <d v="2025-08-26T05:08:50" u="1"/>
        <d v="2025-08-26T06:03:39" u="1"/>
        <d v="2025-08-26T06:06:22" u="1"/>
        <d v="2025-08-26T08:04:04" u="1"/>
        <d v="2025-08-26T08:30:01" u="1"/>
        <d v="2025-08-26T09:16:56" u="1"/>
        <d v="2025-08-26T10:34:12" u="1"/>
        <d v="2025-08-26T11:48:56" u="1"/>
        <d v="2025-08-26T11:49:56" u="1"/>
        <d v="2025-08-26T20:42:12" u="1"/>
        <d v="2025-08-26T22:16:02" u="1"/>
        <d v="2025-08-26T22:39:43" u="1"/>
        <d v="2025-08-26T23:05:50" u="1"/>
        <d v="2025-08-26T23:12:51" u="1"/>
        <d v="2025-08-26T23:48:55" u="1"/>
        <d v="2025-08-27T00:07:35" u="1"/>
        <d v="2025-08-27T00:33:56" u="1"/>
        <d v="2025-08-27T01:12:27" u="1"/>
        <d v="2025-08-27T02:05:23" u="1"/>
        <d v="2025-08-27T02:06:02" u="1"/>
        <d v="2025-08-27T02:14:40" u="1"/>
        <d v="2025-08-27T02:44:23" u="1"/>
        <d v="2025-08-27T04:36:34" u="1"/>
        <d v="2025-08-27T04:48:26" u="1"/>
        <d v="2025-08-27T05:07:36" u="1"/>
        <d v="2025-08-27T05:24:04" u="1"/>
        <d v="2025-08-27T05:30:20" u="1"/>
        <d v="2025-08-27T06:07:13" u="1"/>
        <d v="2025-08-27T06:57:34" u="1"/>
        <d v="2025-08-27T07:23:13" u="1"/>
        <d v="2025-08-27T07:25:22" u="1"/>
        <d v="2025-08-27T07:42:24" u="1"/>
        <d v="2025-08-27T08:14:24" u="1"/>
        <d v="2025-08-27T08:29:22" u="1"/>
        <d v="2025-08-27T08:49:22" u="1"/>
        <d v="2025-08-27T08:50:08" u="1"/>
        <d v="2025-08-27T09:00:02" u="1"/>
        <d v="2025-08-27T09:24:11" u="1"/>
        <d v="2025-08-27T09:25:12" u="1"/>
        <d v="2025-08-27T09:38:16" u="1"/>
        <d v="2025-08-27T09:45:21" u="1"/>
        <d v="2025-08-27T10:32:11" u="1"/>
        <d v="2025-08-27T10:39:49" u="1"/>
        <d v="2025-08-27T11:58:38" u="1"/>
        <d v="2025-08-27T12:01:53" u="1"/>
        <d v="2025-08-27T12:41:59" u="1"/>
        <d v="2025-08-27T12:42:14" u="1"/>
        <d v="2025-08-27T13:07:18" u="1"/>
        <d v="2025-08-27T13:14:08" u="1"/>
        <d v="2025-08-27T13:34:26" u="1"/>
        <d v="2025-08-27T16:44:15" u="1"/>
        <d v="2025-08-27T17:52:28" u="1"/>
        <d v="2025-08-27T20:35:15" u="1"/>
        <d v="2025-08-27T22:31:39" u="1"/>
        <d v="2025-08-27T22:32:43" u="1"/>
        <d v="2025-08-27T23:07:27" u="1"/>
        <d v="2025-08-27T23:14:34" u="1"/>
        <d v="2025-08-27T23:18:34" u="1"/>
        <d v="2025-08-27T23:21:45" u="1"/>
        <d v="2025-08-27T23:30:28" u="1"/>
        <d v="2025-08-28T00:09:11" u="1"/>
        <d v="2025-08-28T00:49:34" u="1"/>
        <d v="2025-08-28T00:50:12" u="1"/>
        <d v="2025-08-28T01:08:22" u="1"/>
        <d v="2025-08-28T01:39:05" u="1"/>
        <d v="2025-08-28T01:50:16" u="1"/>
        <d v="2025-08-28T02:23:49" u="1"/>
        <d v="2025-08-28T02:43:07" u="1"/>
        <d v="2025-08-28T02:51:19" u="1"/>
        <d v="2025-08-28T03:06:06" u="1"/>
        <d v="2025-08-28T03:54:52" u="1"/>
        <d v="2025-08-28T03:57:26" u="1"/>
        <d v="2025-08-28T04:28:22" u="1"/>
        <d v="2025-08-28T04:59:04" u="1"/>
        <d v="2025-08-28T05:15:14" u="1"/>
        <d v="2025-08-28T05:16:40" u="1"/>
        <d v="2025-08-28T05:51:55" u="1"/>
        <d v="2025-08-28T05:55:23" u="1"/>
        <d v="2025-08-28T06:00:31" u="1"/>
        <d v="2025-08-28T06:03:12" u="1"/>
        <d v="2025-08-28T07:06:58" u="1"/>
        <d v="2025-08-28T07:07:09" u="1"/>
        <d v="2025-08-28T08:49:25" u="1"/>
        <d v="2025-08-28T09:18:45" u="1"/>
        <d v="2025-08-28T09:32:41" u="1"/>
        <d v="2025-08-28T09:33:02" u="1"/>
        <d v="2025-08-28T09:33:17" u="1"/>
        <d v="2025-08-28T09:33:22" u="1"/>
        <d v="2025-08-28T09:34:55" u="1"/>
        <d v="2025-08-28T10:00:18" u="1"/>
        <d v="2025-08-28T10:02:11" u="1"/>
        <d v="2025-08-28T10:02:16" u="1"/>
        <d v="2025-08-28T10:12:16" u="1"/>
        <d v="2025-08-28T10:32:50" u="1"/>
        <d v="2025-08-28T11:09:10" u="1"/>
        <d v="2025-08-28T11:58:38" u="1"/>
        <d v="2025-08-28T12:09:25" u="1"/>
        <d v="2025-08-28T12:31:12" u="1"/>
        <d v="2025-08-28T14:29:37" u="1"/>
        <d v="2025-08-28T14:31:56" u="1"/>
        <d v="2025-08-28T15:58:35" u="1"/>
        <d v="2025-08-28T19:10:12" u="1"/>
        <d v="2025-08-28T21:56:59" u="1"/>
        <d v="2025-08-28T22:33:10" u="1"/>
        <d v="2025-08-28T23:10:48" u="1"/>
        <d v="2025-08-28T23:43:10" u="1"/>
        <d v="2025-08-28T23:57:35" u="1"/>
        <d v="2025-08-29T00:11:17" u="1"/>
        <d v="2025-08-29T00:29:19" u="1"/>
        <d v="2025-08-29T00:36:06" u="1"/>
        <d v="2025-08-29T01:12:23" u="1"/>
        <d v="2025-08-29T01:28:28" u="1"/>
        <d v="2025-08-29T01:28:46" u="1"/>
        <d v="2025-08-29T01:35:39" u="1"/>
        <d v="2025-08-29T02:09:57" u="1"/>
        <d v="2025-08-29T02:13:55" u="1"/>
        <d v="2025-08-29T02:14:04" u="1"/>
        <d v="2025-08-29T02:42:26" u="1"/>
        <d v="2025-08-29T02:49:48" u="1"/>
        <d v="2025-08-29T02:52:24" u="1"/>
        <d v="2025-08-29T02:55:37" u="1"/>
        <d v="2025-08-29T03:05:28" u="1"/>
        <d v="2025-08-29T03:16:41" u="1"/>
        <d v="2025-08-29T04:00:11" u="1"/>
        <d v="2025-08-29T04:10:31" u="1"/>
        <d v="2025-08-29T04:11:39" u="1"/>
        <d v="2025-08-29T05:36:24" u="1"/>
        <d v="2025-08-29T05:49:36" u="1"/>
        <d v="2025-08-29T07:00:06" u="1"/>
        <d v="2025-08-29T07:13:09" u="1"/>
        <d v="2025-08-29T07:13:47" u="1"/>
        <d v="2025-08-29T07:18:56" u="1"/>
        <d v="2025-08-29T07:22:00" u="1"/>
        <d v="2025-08-29T07:22:04" u="1"/>
        <d v="2025-08-29T07:39:44" u="1"/>
        <d v="2025-08-29T08:00:29" u="1"/>
        <d v="2025-08-29T08:03:27" u="1"/>
        <d v="2025-08-29T08:12:38" u="1"/>
        <d v="2025-08-29T08:15:40" u="1"/>
        <d v="2025-08-29T09:47:24" u="1"/>
        <d v="2025-08-29T10:47:29" u="1"/>
        <d v="2025-08-29T10:52:13" u="1"/>
        <d v="2025-08-29T10:52:59" u="1"/>
        <d v="2025-08-29T11:12:13" u="1"/>
        <d v="2025-08-29T11:23:41" u="1"/>
        <d v="2025-08-29T11:31:38" u="1"/>
        <d v="2025-08-29T12:09:06" u="1"/>
        <d v="2025-08-29T12:10:41" u="1"/>
        <d v="2025-08-29T12:38:03" u="1"/>
        <d v="2025-08-29T13:18:55" u="1"/>
        <d v="2025-08-29T13:32:08" u="1"/>
        <d v="2025-08-29T13:47:59" u="1"/>
        <d v="2025-08-29T14:00:18" u="1"/>
        <d v="2025-08-29T14:25:10" u="1"/>
        <d v="2025-08-29T15:19:25" u="1"/>
        <d v="2025-08-29T17:24:48" u="1"/>
        <d v="2025-08-29T18:47:26" u="1"/>
        <d v="2025-08-29T18:48:11" u="1"/>
        <d v="2025-08-29T22:39:27" u="1"/>
        <d v="2025-08-30T00:24:36" u="1"/>
        <d v="2025-08-30T01:50:39" u="1"/>
        <d v="2025-08-30T02:12:16" u="1"/>
        <d v="2025-08-30T02:37:13" u="1"/>
        <d v="2025-08-30T02:52:31" u="1"/>
        <d v="2025-08-30T02:56:38" u="1"/>
        <d v="2025-08-30T03:14:38" u="1"/>
        <d v="2025-08-30T03:16:39" u="1"/>
        <d v="2025-08-30T03:52:09" u="1"/>
        <d v="2025-08-30T04:02:18" u="1"/>
        <d v="2025-08-30T05:40:10" u="1"/>
        <d v="2025-08-30T06:37:33" u="1"/>
        <d v="2025-08-30T07:11:05" u="1"/>
        <d v="2025-08-30T07:22:15" u="1"/>
        <d v="2025-08-30T08:00:40" u="1"/>
        <d v="2025-08-30T08:23:09" u="1"/>
        <d v="2025-08-30T09:01:04" u="1"/>
        <d v="2025-08-30T09:13:26" u="1"/>
        <d v="2025-08-30T09:52:11" u="1"/>
        <d v="2025-08-30T10:16:29" u="1"/>
        <d v="2025-08-30T10:46:39" u="1"/>
        <d v="2025-08-30T10:47:46" u="1"/>
        <d v="2025-08-30T11:09:16" u="1"/>
        <d v="2025-08-30T11:57:13" u="1"/>
        <d v="2025-08-30T15:06:43" u="1"/>
        <d v="2025-08-30T21:18:40" u="1"/>
        <d v="2025-08-30T23:26:37" u="1"/>
        <d v="2025-08-31T00:39:28" u="1"/>
        <d v="2025-08-31T02:49:06" u="1"/>
        <d v="2025-08-31T03:04:08" u="1"/>
        <d v="2025-08-31T03:41:18" u="1"/>
        <d v="2025-08-31T06:21:43" u="1"/>
        <d v="2025-08-31T06:25:49" u="1"/>
        <d v="2025-08-31T06:37:54" u="1"/>
        <d v="2025-08-31T07:31:19" u="1"/>
        <d v="2025-08-31T07:36:31" u="1"/>
        <d v="2025-08-31T07:39:35" u="1"/>
        <d v="2025-08-31T07:42:48" u="1"/>
        <d v="2025-08-31T08:21:03" u="1"/>
        <d v="2025-08-31T08:29:15" u="1"/>
        <d v="2025-08-31T08:29:20" u="1"/>
        <d v="2025-08-31T09:40:44" u="1"/>
        <d v="2025-08-31T09:41:41" u="1"/>
        <d v="2025-08-31T10:00:25" u="1"/>
        <d v="2025-08-31T10:01:39" u="1"/>
        <d v="2025-08-31T10:57:55" u="1"/>
        <d v="2025-08-31T11:50:27" u="1"/>
        <d v="2025-08-31T12:12:51" u="1"/>
        <d v="2025-08-31T14:02:15" u="1"/>
        <d v="2025-08-31T16:06:53" u="1"/>
        <d v="2025-08-31T16:42:09" u="1"/>
        <d v="2025-08-31T17:13:17" u="1"/>
        <d v="2025-08-31T17:57:33" u="1"/>
        <d v="2025-08-31T18:05:06" u="1"/>
        <d v="2025-08-31T18:10:17" u="1"/>
        <d v="2025-09-01T00:50:17" u="1"/>
        <d v="2025-09-01T01:40:43" u="1"/>
        <d v="2025-09-01T01:45:25" u="1"/>
        <d v="2025-09-01T03:13:46" u="1"/>
        <d v="2025-09-01T03:20:21" u="1"/>
        <d v="2025-09-01T04:06:27" u="1"/>
        <d v="2025-09-01T05:42:00" u="1"/>
        <d v="2025-09-01T14:05:01" u="1"/>
        <d v="2025-09-01T16:08:05" u="1"/>
        <d v="2025-09-01T16:13:14" u="1"/>
        <d v="2025-09-01T21:42:28" u="1"/>
        <d v="2025-09-01T22:17:38" u="1"/>
        <d v="2025-09-01T22:25:45" u="1"/>
        <d v="2025-09-01T22:30:57" u="1"/>
        <d v="2025-09-01T23:07:43" u="1"/>
        <d v="2025-09-01T23:10:27" u="1"/>
        <d v="2025-09-02T01:17:29" u="1"/>
        <d v="2025-09-02T03:42:13" u="1"/>
        <d v="2025-09-02T04:19:40" u="1"/>
        <d v="2025-09-02T04:41:27" u="1"/>
        <d v="2025-09-02T04:56:06" u="1"/>
        <d v="2025-09-02T05:01:11" u="1"/>
        <d v="2025-09-02T05:02:07" u="1"/>
        <d v="2025-09-02T05:04:09" u="1"/>
        <d v="2025-09-02T07:04:27" u="1"/>
        <d v="2025-09-02T07:59:14" u="1"/>
        <d v="2025-09-02T07:59:42" u="1"/>
        <d v="2025-09-02T08:26:05" u="1"/>
        <d v="2025-09-02T08:28:36" u="1"/>
        <d v="2025-09-02T09:17:50" u="1"/>
        <d v="2025-09-02T09:26:08" u="1"/>
        <d v="2025-09-02T09:29:34" u="1"/>
        <d v="2025-09-02T09:54:21" u="1"/>
        <d v="2025-09-02T10:03:38" u="1"/>
        <d v="2025-09-02T10:05:47" u="1"/>
        <d v="2025-09-02T10:09:03" u="1"/>
        <d v="2025-09-02T10:28:10" u="1"/>
        <d v="2025-09-02T11:16:48" u="1"/>
        <d v="2025-09-02T12:16:03" u="1"/>
        <d v="2025-09-02T13:42:10" u="1"/>
        <d v="2025-09-02T14:09:46" u="1"/>
        <d v="2025-09-02T14:51:57" u="1"/>
        <d v="2025-09-02T15:28:33" u="1"/>
        <d v="2025-09-02T16:38:13" u="1"/>
        <d v="2025-09-02T16:51:28" u="1"/>
        <d v="2025-09-02T16:51:32" u="1"/>
        <d v="2025-09-02T16:53:14" u="1"/>
        <d v="2025-09-02T17:02:35" u="1"/>
        <d v="2025-09-02T17:02:45" u="1"/>
        <d v="2025-09-02T17:19:47" u="1"/>
        <d v="2025-09-02T18:00:03" u="1"/>
        <d v="2025-09-02T18:18:30" u="1"/>
        <d v="2025-09-02T18:33:17" u="1"/>
        <d v="2025-09-02T19:10:50" u="1"/>
        <d v="2025-09-02T20:54:12" u="1"/>
        <d v="2025-09-02T21:57:17" u="1"/>
        <d v="2025-09-02T22:59:35" u="1"/>
        <d v="2025-09-02T23:06:22" u="1"/>
        <d v="2025-09-02T23:41:06" u="1"/>
        <d v="2025-09-03T00:03:08" u="1"/>
        <d v="2025-09-03T00:09:15" u="1"/>
        <d v="2025-09-03T00:28:33" u="1"/>
        <d v="2025-09-03T00:48:46" u="1"/>
        <d v="2025-09-03T00:54:33" u="1"/>
        <d v="2025-09-03T01:13:42" u="1"/>
        <d v="2025-09-03T01:15:22" u="1"/>
        <d v="2025-09-03T01:27:15" u="1"/>
        <d v="2025-09-03T01:43:53" u="1"/>
        <d v="2025-09-03T01:46:54" u="1"/>
        <d v="2025-09-03T01:59:08" u="1"/>
        <d v="2025-09-03T02:06:10" u="1"/>
        <d v="2025-09-03T02:20:31" u="1"/>
        <d v="2025-09-03T02:21:35" u="1"/>
        <d v="2025-09-03T03:03:18" u="1"/>
        <d v="2025-09-03T03:03:42" u="1"/>
        <d v="2025-09-03T03:05:20" u="1"/>
        <d v="2025-09-03T03:24:11" u="1"/>
        <d v="2025-09-03T03:47:08" u="1"/>
        <d v="2025-09-03T03:54:57" u="1"/>
        <d v="2025-09-03T04:01:01" u="1"/>
        <d v="2025-09-03T04:33:55" u="1"/>
        <d v="2025-09-03T04:40:35" u="1"/>
        <d v="2025-09-03T04:46:31" u="1"/>
        <d v="2025-09-03T04:50:25" u="1"/>
        <d v="2025-09-03T06:37:13" u="1"/>
        <d v="2025-09-03T07:00:04" u="1"/>
        <d v="2025-09-03T07:45:49" u="1"/>
        <d v="2025-09-03T08:07:10" u="1"/>
        <d v="2025-09-03T08:21:14" u="1"/>
        <d v="2025-09-03T09:25:24" u="1"/>
        <d v="2025-09-03T10:39:47" u="1"/>
        <d v="2025-09-03T10:40:03" u="1"/>
        <d v="2025-09-03T11:12:50" u="1"/>
        <d v="2025-09-03T13:21:43" u="1"/>
        <d v="2025-09-03T13:31:36" u="1"/>
        <d v="2025-09-03T13:47:06" u="1"/>
        <d v="2025-09-03T14:05:57" u="1"/>
        <d v="2025-09-03T14:06:06" u="1"/>
        <d v="2025-09-03T14:26:56" u="1"/>
        <d v="2025-09-03T16:40:17" u="1"/>
        <d v="2025-09-03T20:14:28" u="1"/>
        <d v="2025-09-03T21:59:27" u="1"/>
        <d v="2025-09-03T22:02:48" u="1"/>
        <d v="2025-09-03T22:09:44" u="1"/>
        <d v="2025-09-03T23:50:06" u="1"/>
        <d v="2025-09-04T00:16:20" u="1"/>
        <d v="2025-09-04T00:46:10" u="1"/>
        <d v="2025-09-04T00:49:54" u="1"/>
        <d v="2025-09-04T02:26:57" u="1"/>
        <d v="2025-09-04T02:31:57" u="1"/>
        <d v="2025-09-04T02:38:24" u="1"/>
        <d v="2025-09-04T03:25:22" u="1"/>
        <d v="2025-09-04T03:32:12" u="1"/>
        <d v="2025-09-04T04:04:05" u="1"/>
        <d v="2025-09-04T04:17:27" u="1"/>
        <d v="2025-09-04T04:44:07" u="1"/>
        <d v="2025-09-04T05:20:47" u="1"/>
        <d v="2025-09-04T06:07:00" u="1"/>
        <d v="2025-09-04T07:59:04" u="1"/>
        <d v="2025-09-04T08:59:01" u="1"/>
        <d v="2025-09-04T09:30:14" u="1"/>
        <d v="2025-09-04T09:37:31" u="1"/>
        <d v="2025-09-04T13:23:05" u="1"/>
        <d v="2025-09-04T13:33:53" u="1"/>
        <d v="2025-09-04T13:35:44" u="1"/>
        <d v="2025-09-04T23:16:12" u="1"/>
        <d v="2025-09-04T23:35:30" u="1"/>
        <d v="2025-09-05T00:43:50" u="1"/>
        <d v="2025-09-05T00:52:33" u="1"/>
        <d v="2025-09-05T02:21:10" u="1"/>
        <d v="2025-09-05T02:37:20" u="1"/>
        <d v="2025-09-05T02:47:42" u="1"/>
        <d v="2025-09-05T03:04:30" u="1"/>
        <d v="2025-09-05T03:09:33" u="1"/>
        <d v="2025-09-05T03:15:06" u="1"/>
        <d v="2025-09-05T03:19:28" u="1"/>
        <d v="2025-09-05T04:26:49" u="1"/>
        <d v="2025-09-05T04:29:02" u="1"/>
        <d v="2025-09-05T04:37:20" u="1"/>
        <d v="2025-09-05T04:43:02" u="1"/>
        <d v="2025-09-05T04:48:11" u="1"/>
        <d v="2025-09-05T06:09:44" u="1"/>
        <d v="2025-09-05T06:12:45" u="1"/>
        <d v="2025-09-05T06:14:35" u="1"/>
        <d v="2025-09-05T06:15:27" u="1"/>
        <d v="2025-09-05T06:20:54" u="1"/>
        <d v="2025-09-05T06:23:13" u="1"/>
        <d v="2025-09-05T06:37:35" u="1"/>
        <d v="2025-09-05T06:48:32" u="1"/>
        <d v="2025-09-05T06:53:17" u="1"/>
        <d v="2025-09-05T06:58:50" u="1"/>
        <d v="2025-09-05T07:12:26" u="1"/>
        <d v="2025-09-05T07:14:11" u="1"/>
        <d v="2025-09-05T08:22:28" u="1"/>
        <d v="2025-09-05T13:16:07" u="1"/>
        <d v="2025-09-05T13:55:40" u="1"/>
        <d v="2025-09-05T14:31:01" u="1"/>
        <d v="2025-09-05T14:52:39" u="1"/>
        <d v="2025-09-06T02:14:40" u="1"/>
        <d v="2025-09-06T07:39:40" u="1"/>
        <d v="2025-09-06T08:13:06" u="1"/>
        <d v="2025-09-06T08:43:08" u="1"/>
        <d v="2025-09-06T09:41:27" u="1"/>
        <d v="2025-09-06T09:50:49" u="1"/>
        <d v="2025-09-06T10:44:55" u="1"/>
        <d v="2025-09-06T11:41:28" u="1"/>
        <d v="2025-09-06T15:25:29" u="1"/>
        <d v="2025-09-07T00:59:56" u="1"/>
        <d v="2025-09-07T02:30:47" u="1"/>
        <d v="2025-09-07T02:40:47" u="1"/>
        <d v="2025-09-07T03:44:56" u="1"/>
        <d v="2025-09-07T03:53:05" u="1"/>
        <d v="2025-09-07T09:52:24" u="1"/>
        <d v="2025-09-07T10:01:55" u="1"/>
        <d v="2025-09-07T11:42:21" u="1"/>
        <d v="2025-09-07T14:45:25" u="1"/>
        <d v="2025-09-07T15:48:01" u="1"/>
        <d v="2025-09-07T15:56:32" u="1"/>
        <d v="2025-09-07T19:59:56" u="1"/>
        <d v="2025-09-07T20:01:01" u="1"/>
        <d v="2025-09-07T20:25:46" u="1"/>
        <d v="2025-09-07T21:03:56" u="1"/>
        <d v="2025-09-07T23:04:12" u="1"/>
        <d v="2025-09-08T00:39:10" u="1"/>
        <d v="2025-09-08T02:41:43" u="1"/>
        <d v="2025-09-08T02:56:37" u="1"/>
        <d v="2025-09-08T03:02:02" u="1"/>
        <d v="2025-09-08T04:49:56" u="1"/>
        <d v="2025-09-08T23:20:25" u="1"/>
        <d v="2025-09-08T23:26:52" u="1"/>
        <d v="2025-09-09T03:55:49" u="1"/>
        <d v="2025-09-09T03:58:34" u="1"/>
        <d v="2025-09-09T04:00:51" u="1"/>
        <d v="2025-09-09T04:41:45" u="1"/>
        <d v="2025-09-09T04:42:26" u="1"/>
        <d v="2025-09-09T05:28:07" u="1"/>
        <d v="2025-09-09T06:53:31" u="1"/>
        <d v="2025-09-09T08:57:34" u="1"/>
        <d v="2025-09-09T10:40:12" u="1"/>
        <d v="2025-09-09T10:52:59" u="1"/>
        <d v="2025-09-09T11:24:17" u="1"/>
        <d v="2025-09-09T13:54:01" u="1"/>
        <d v="2025-09-09T16:07:41" u="1"/>
        <d v="2025-09-09T16:10:33" u="1"/>
        <d v="2025-09-09T16:22:27" u="1"/>
        <d v="2025-09-09T17:25:05" u="1"/>
        <d v="2025-09-09T19:39:59" u="1"/>
        <d v="2025-09-09T21:46:32" u="1"/>
        <d v="2025-09-09T23:20:47" u="1"/>
        <d v="2025-09-09T23:23:15" u="1"/>
        <d v="2025-09-10T00:36:13" u="1"/>
        <d v="2025-09-10T01:39:29" u="1"/>
        <d v="2025-09-10T02:43:31" u="1"/>
        <d v="2025-09-10T03:49:09" u="1"/>
        <d v="2025-09-10T04:10:01" u="1"/>
        <d v="2025-09-10T04:52:06" u="1"/>
        <d v="2025-09-10T05:39:38" u="1"/>
        <d v="2025-09-10T05:39:40" u="1"/>
        <d v="2025-09-10T05:42:21" u="1"/>
        <d v="2025-09-10T05:42:27" u="1"/>
        <d v="2025-09-10T06:02:19" u="1"/>
        <d v="2025-09-10T06:27:18" u="1"/>
        <d v="2025-09-10T06:58:18" u="1"/>
        <d v="2025-09-10T07:03:03" u="1"/>
        <d v="2025-09-10T07:55:45" u="1"/>
        <d v="2025-09-10T08:01:24" u="1"/>
        <d v="2025-09-10T08:02:06" u="1"/>
        <d v="2025-09-10T08:22:18" u="1"/>
        <d v="2025-09-10T08:22:20" u="1"/>
        <d v="2025-09-10T08:46:29" u="1"/>
        <d v="2025-09-10T09:49:19" u="1"/>
        <d v="2025-09-10T10:10:39" u="1"/>
        <d v="2025-09-10T10:43:27" u="1"/>
        <d v="2025-09-10T13:13:24" u="1"/>
        <d v="2025-09-10T13:43:54" u="1"/>
        <d v="2025-09-10T15:06:52" u="1"/>
        <d v="2025-09-10T19:13:06" u="1"/>
        <d v="2025-09-10T19:56:39" u="1"/>
        <d v="2025-09-10T20:16:01" u="1"/>
        <d v="2025-09-10T21:08:45" u="1"/>
        <d v="2025-09-10T21:26:12" u="1"/>
        <d v="2025-09-10T22:53:28" u="1"/>
        <d v="2025-09-10T22:57:02" u="1"/>
        <d v="2025-09-10T23:37:08" u="1"/>
        <d v="2025-09-10T23:55:27" u="1"/>
        <d v="2025-09-11T00:23:32" u="1"/>
        <d v="2025-09-11T00:27:47" u="1"/>
        <d v="2025-09-11T00:51:38" u="1"/>
        <d v="2025-09-11T00:53:42" u="1"/>
        <d v="2025-09-11T01:00:32" u="1"/>
        <d v="2025-09-11T01:02:51" u="1"/>
        <d v="2025-09-11T01:06:35" u="1"/>
        <d v="2025-09-11T01:10:10" u="1"/>
        <d v="2025-09-11T01:15:52" u="1"/>
        <d v="2025-09-11T02:02:12" u="1"/>
        <d v="2025-09-11T02:04:01" u="1"/>
        <d v="2025-09-11T02:05:23" u="1"/>
        <d v="2025-09-11T02:09:08" u="1"/>
        <d v="2025-09-11T02:31:38" u="1"/>
        <d v="2025-09-11T03:02:20" u="1"/>
        <d v="2025-09-11T04:38:59" u="1"/>
        <d v="2025-09-11T04:58:56" u="1"/>
        <d v="2025-09-11T05:00:19" u="1"/>
        <d v="2025-09-11T05:35:17" u="1"/>
        <d v="2025-09-11T05:41:48" u="1"/>
        <d v="2025-09-11T05:54:50" u="1"/>
        <d v="2025-09-11T06:01:16" u="1"/>
        <d v="2025-09-11T07:10:45" u="1"/>
        <d v="2025-09-11T07:46:46" u="1"/>
        <d v="2025-09-11T07:47:17" u="1"/>
        <d v="2025-09-11T07:54:09" u="1"/>
        <d v="2025-09-11T09:08:26" u="1"/>
        <d v="2025-09-11T10:20:55" u="1"/>
        <d v="2025-09-11T10:33:12" u="1"/>
        <d v="2025-09-11T11:13:14" u="1"/>
        <d v="2025-09-11T14:59:38" u="1"/>
        <d v="2025-09-11T21:15:11" u="1"/>
        <d v="2025-09-11T22:22:49" u="1"/>
        <d v="2025-09-11T23:00:10" u="1"/>
        <d v="2025-09-11T23:57:32" u="1"/>
        <d v="2025-09-12T00:18:35" u="1"/>
        <d v="2025-09-12T02:14:03" u="1"/>
        <d v="2025-09-12T03:02:08" u="1"/>
        <d v="2025-09-12T03:02:14" u="1"/>
        <d v="2025-09-12T03:02:36" u="1"/>
        <d v="2025-09-12T03:59:27" u="1"/>
        <d v="2025-09-12T04:00:49" u="1"/>
        <d v="2025-09-12T04:01:24" u="1"/>
        <d v="2025-09-12T04:01:33" u="1"/>
        <d v="2025-09-12T04:07:00" u="1"/>
        <d v="2025-09-12T04:50:58" u="1"/>
        <d v="2025-09-12T05:03:12" u="1"/>
        <d v="2025-09-12T06:01:50" u="1"/>
        <d v="2025-09-12T06:37:59" u="1"/>
        <d v="2025-09-12T07:11:27" u="1"/>
        <d v="2025-09-12T08:19:14" u="1"/>
        <d v="2025-09-12T09:08:23" u="1"/>
        <d v="2025-09-12T09:53:50" u="1"/>
        <d v="2025-09-12T10:18:07" u="1"/>
        <d v="2025-09-12T10:30:03" u="1"/>
        <d v="2025-09-12T10:30:26" u="1"/>
        <d v="2025-09-12T11:33:13" u="1"/>
        <d v="2025-09-12T12:12:36" u="1"/>
        <d v="2025-09-12T12:34:51" u="1"/>
        <d v="2025-09-12T13:17:29" u="1"/>
        <d v="2025-09-12T13:18:38" u="1"/>
        <d v="2025-09-12T13:19:34" u="1"/>
        <d v="2025-09-12T13:25:07" u="1"/>
        <d v="2025-09-12T13:25:15" u="1"/>
        <d v="2025-09-12T13:28:39" u="1"/>
        <d v="2025-09-12T13:28:47" u="1"/>
        <d v="2025-09-12T13:45:08" u="1"/>
        <d v="2025-09-12T14:04:14" u="1"/>
        <d v="2025-09-12T14:09:12" u="1"/>
        <d v="2025-09-12T14:13:02" u="1"/>
        <d v="2025-09-12T14:13:06" u="1"/>
        <d v="2025-09-12T14:15:02" u="1"/>
        <d v="2025-09-12T14:32:04" u="1"/>
        <d v="2025-09-12T15:00:34" u="1"/>
        <d v="2025-09-12T17:22:24" u="1"/>
        <d v="2025-09-12T22:27:24" u="1"/>
        <d v="2025-09-12T23:25:53" u="1"/>
        <d v="2025-09-13T00:08:37" u="1"/>
      </sharedItems>
      <fieldGroup par="12"/>
    </cacheField>
    <cacheField name="derived-timeOfDayPST" numFmtId="165">
      <sharedItems count="96">
        <s v="08:15:00"/>
        <s v="15:30:00"/>
        <s v="14:30:00"/>
        <s v="14:00:00"/>
        <s v="13:00:00"/>
        <s v="11:45:00"/>
        <s v="15:45:00"/>
        <s v="09:15:00"/>
        <s v="08:00:00"/>
        <s v="13:45:00"/>
        <s v="09:30:00"/>
        <s v="11:00:00"/>
        <s v="12:15:00"/>
        <s v="13:15:00"/>
        <s v="15:00:00"/>
        <s v="07:30:00"/>
        <s v="09:00:00"/>
        <s v="10:30:00"/>
        <s v="20:30:00"/>
        <s v="07:45:00"/>
        <s v="10:00:00"/>
        <s v="14:45:00"/>
        <s v="00:15:00"/>
        <s v="06:30:00"/>
        <s v="09:45:00"/>
        <s v="08:30:00"/>
        <s v="10:15:00"/>
        <s v="06:15:00"/>
        <s v="10:45:00"/>
        <s v="11:30:00"/>
        <s v="12:00:00"/>
        <s v="12:30:00"/>
        <s v="12:45:00"/>
        <s v="14:15:00"/>
        <s v="17:45:00"/>
        <s v="07:15:00"/>
        <s v="21:30:00"/>
        <s v="11:15:00"/>
        <s v="04:15:00"/>
        <s v="23:15:00"/>
        <s v="13:30:00"/>
        <s v="19:30:00"/>
        <s v="20:15:00"/>
        <s v="21:00:00"/>
        <s v="16:00:00"/>
        <s v="16:15:00"/>
        <s v="17:00:00"/>
        <s v="18:00:00"/>
        <s v="18:30:00"/>
        <s v="19:00:00"/>
        <s v="20:00:00"/>
        <s v="21:45:00"/>
        <s v="22:30:00"/>
        <s v="23:30:00"/>
        <s v="00:00:00"/>
        <s v="01:30:00"/>
        <s v="01:45:00"/>
        <s v="02:00:00"/>
        <s v="03:15:00"/>
        <s v="05:15:00"/>
        <s v="05:45:00"/>
        <s v="06:00:00"/>
        <s v="06:45:00"/>
        <s v="07:00:00"/>
        <s v="00:45:00"/>
        <s v="01:00:00"/>
        <s v="05:00:00"/>
        <s v="22:00:00"/>
        <s v="17:30:00"/>
        <s v="21:15:00"/>
        <s v="04:00:00"/>
        <s v="02:15:00"/>
        <s v="02:30:00"/>
        <s v="16:30:00"/>
        <s v="23:45:00"/>
        <s v="00:30:00"/>
        <s v="23:00:00"/>
        <s v="15:15:00"/>
        <s v="18:45:00"/>
        <s v="19:45:00"/>
        <s v="22:15:00"/>
        <s v="17:15:00"/>
        <s v="08:45:00"/>
        <s v="02:45:00"/>
        <s v="16:45:00"/>
        <s v="19:15:00"/>
        <s v="04:45:00"/>
        <s v="20:45:00"/>
        <s v="01:15:00"/>
        <s v="04:30:00"/>
        <s v="22:45:00"/>
        <s v="03:00:00"/>
        <s v="03:30:00"/>
        <s v="05:30:00"/>
        <s v="18:15:00"/>
        <s v="03:45:00" u="1"/>
      </sharedItems>
    </cacheField>
    <cacheField name="derived-AbbrvUserId" numFmtId="0">
      <sharedItems count="186">
        <s v="fb7d1ae3"/>
        <s v="cef2b19d"/>
        <s v="c2373a46"/>
        <s v="98a65d8a"/>
        <s v="fbfa025f"/>
        <s v="5099fed4"/>
        <s v="d6f7ed99"/>
        <s v="44e5ae6a"/>
        <s v="0759d13b"/>
        <s v="865aaa25"/>
        <s v="01b52c2e"/>
        <s v="ab73a004"/>
        <s v="60e012f5"/>
        <s v="bd053b0f"/>
        <s v="fc8596ff"/>
        <s v="5db0b69a"/>
        <s v="72d846eb"/>
        <s v="17ab8242"/>
        <s v="42a9846a"/>
        <s v="162b0343"/>
        <s v="6d2d86c1"/>
        <s v="65e0d73f"/>
        <s v="8eca698f"/>
        <s v="dd5359fa"/>
        <s v="f676770a"/>
        <s v="a4c34cb7"/>
        <s v="0e8ecca7"/>
        <s v="92811fe2"/>
        <s v="390c34fc"/>
        <s v="08384b86"/>
        <s v="4f0ea4ac"/>
        <s v="efdce85f"/>
        <s v="cf20f9c8"/>
        <s v="154e5978"/>
        <s v="66f75625"/>
        <s v="ad0cce28"/>
        <s v="2d4eebd6"/>
        <s v="afc40c1e"/>
        <s v="d659d111"/>
        <s v="9d79733b"/>
        <s v="bffb65a5"/>
        <s v="587e52c3" u="1"/>
        <s v="15fc7bab" u="1"/>
        <s v="6c18e8b0" u="1"/>
        <s v="b1f87394" u="1"/>
        <s v="b78d3907" u="1"/>
        <s v="6b0aa832" u="1"/>
        <s v="a6541d71" u="1"/>
        <s v="61726e3d" u="1"/>
        <s v="c2f04472" u="1"/>
        <s v="47b76ecc" u="1"/>
        <s v="13433ee4" u="1"/>
        <s v="7ada439a" u="1"/>
        <s v="33bc4c86" u="1"/>
        <s v="0bd66644" u="1"/>
        <s v="a0ad60d2" u="1"/>
        <s v="3abf61c1" u="1"/>
        <s v="fe88a3bb" u="1"/>
        <s v="c1c8db71" u="1"/>
        <s v="faa06b93" u="1"/>
        <s v="7e478361" u="1"/>
        <s v="89c432c6" u="1"/>
        <s v="e131c74b" u="1"/>
        <s v="066c1e1d" u="1"/>
        <s v="82b3ee30" u="1"/>
        <s v="9990f284" u="1"/>
        <s v="071266d9" u="1"/>
        <s v="5a867e0e" u="1"/>
        <s v="e0ffa216" u="1"/>
        <s v="ca1b243d" u="1"/>
        <s v="cdae4bfe" u="1"/>
        <s v="14575771" u="1"/>
        <s v="46532411" u="1"/>
        <s v="63a53ba3" u="1"/>
        <s v="66b8083f" u="1"/>
        <s v="90d3866a" u="1"/>
        <s v="056ab100" u="1"/>
        <s v="99117f69" u="1"/>
        <s v="3eb840f1" u="1"/>
        <s v="6231983d" u="1"/>
        <s v="e8793363" u="1"/>
        <s v="0dcbf4ee" u="1"/>
        <s v="31e383b7" u="1"/>
        <s v="0098cce9" u="1"/>
        <s v="369e55fd" u="1"/>
        <s v="805ee844" u="1"/>
        <s v="43e39f16" u="1"/>
        <s v="9834c3e7" u="1"/>
        <s v="0637141a" u="1"/>
        <s v="325a26bc" u="1"/>
        <s v="a68a3b4d" u="1"/>
        <s v="f2470515" u="1"/>
        <s v="ec6f920d" u="1"/>
        <s v="ac4fb702" u="1"/>
        <s v="589bab67" u="1"/>
        <s v="d2d12ca8" u="1"/>
        <s v="999b8168" u="1"/>
        <s v="493a201b" u="1"/>
        <s v="6e788a1c" u="1"/>
        <s v="7f7b1fc5" u="1"/>
        <s v="6e0693f1" u="1"/>
        <s v="fbbb50fd" u="1"/>
        <s v="603a352d" u="1"/>
        <s v="4b33014f" u="1"/>
        <s v="a8d7d6d2" u="1"/>
        <s v="89f954d9" u="1"/>
        <s v="2affbaf0" u="1"/>
        <s v="60ba5184" u="1"/>
        <s v="d5ce403e" u="1"/>
        <s v="f4152867" u="1"/>
        <s v="06bd74fd" u="1"/>
        <s v="40b01195" u="1"/>
        <s v="2b1e304f" u="1"/>
        <s v="cd05dc49" u="1"/>
        <s v="eb89f1cb" u="1"/>
        <s v="94f96e79" u="1"/>
        <s v="2ef4df60" u="1"/>
        <s v="9716dc93" u="1"/>
        <s v="9f1783ed" u="1"/>
        <s v="34be44b2" u="1"/>
        <s v="4e682245" u="1"/>
        <s v="d7e65c09" u="1"/>
        <s v="99d79d9a" u="1"/>
        <s v="6ead177d" u="1"/>
        <s v="ad8ac820" u="1"/>
        <s v="fc7657ab" u="1"/>
        <s v="ab4fb883" u="1"/>
        <s v="aed16a6f" u="1"/>
        <s v="9ee99d65" u="1"/>
        <s v="24eec171" u="1"/>
        <s v="23739276" u="1"/>
        <s v="93bd15bb" u="1"/>
        <s v="7bf17060" u="1"/>
        <s v="245b75c2" u="1"/>
        <s v="a1365cd7" u="1"/>
        <s v="4a5141e6" u="1"/>
        <s v="b7bafc33" u="1"/>
        <s v="210a037c" u="1"/>
        <s v="2d630c8a" u="1"/>
        <s v="d22a256d" u="1"/>
        <s v="0f7cbc4e" u="1"/>
        <s v="293447c6" u="1"/>
        <s v="a74517fa" u="1"/>
        <s v="908f5428" u="1"/>
        <s v="b003b70f" u="1"/>
        <s v="ab123fa7" u="1"/>
        <s v="3a4c5910" u="1"/>
        <s v="700c74c4" u="1"/>
        <s v="03e65548" u="1"/>
        <s v="1b48ad5d" u="1"/>
        <s v="c2a424ac" u="1"/>
        <s v="55d80ae2" u="1"/>
        <s v="d4f48750" u="1"/>
        <s v="952ebafd" u="1"/>
        <s v="86728b1f" u="1"/>
        <s v="fcf53587" u="1"/>
        <s v="8229e5b6" u="1"/>
        <s v="0062cad4" u="1"/>
        <s v="a0246511" u="1"/>
        <s v="ab063fb7" u="1"/>
        <s v="80628cf7" u="1"/>
        <s v="a012359a" u="1"/>
        <s v="dedd7109" u="1"/>
        <s v="5d7ea13a" u="1"/>
        <s v="90bc51cc" u="1"/>
        <s v="259feb70" u="1"/>
        <s v="af200436" u="1"/>
        <s v="5b0955aa" u="1"/>
        <s v="a363fecb" u="1"/>
        <s v="a63a73be" u="1"/>
        <s v="7fd7b8dd" u="1"/>
        <s v="14b399e7" u="1"/>
        <s v="6fdad808" u="1"/>
        <s v="a2f2bb15" u="1"/>
        <s v="8a3554f2" u="1"/>
        <s v="c580fced" u="1"/>
        <s v="7606039d" u="1"/>
        <s v="7f902e63" u="1"/>
        <s v="1b31ef4c" u="1"/>
        <s v="c94c85be" u="1"/>
        <s v="8a01e908" u="1"/>
        <s v="0c1f5369" u="1"/>
        <s v="1b14499b" u="1"/>
        <s v="913f9130" u="1"/>
        <s v="6ace3865" u="1"/>
        <s v="ed588c44" u="1"/>
      </sharedItems>
    </cacheField>
    <cacheField name="Months" numFmtId="0" formula=" MONTH(searchDate)" databaseField="0"/>
    <cacheField name="Days (searchDate)" numFmtId="0" databaseField="0">
      <fieldGroup base="2">
        <rangePr groupBy="days" startDate="2025-05-30T16:22:05" endDate="2025-10-11T13:20:06"/>
        <groupItems count="368">
          <s v="&lt;5/30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1/2025"/>
        </groupItems>
      </fieldGroup>
    </cacheField>
    <cacheField name="Months (searchDate)" numFmtId="0" databaseField="0">
      <fieldGroup base="2">
        <rangePr groupBy="months" startDate="2025-05-30T16:22:05" endDate="2025-10-11T13:20:06"/>
        <groupItems count="14">
          <s v="&lt;5/3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1/2025"/>
        </groupItems>
      </fieldGroup>
    </cacheField>
    <cacheField name="Days (derived-searchDatePST)" numFmtId="0" databaseField="0">
      <fieldGroup base="5">
        <rangePr groupBy="days" startDate="2025-05-30T08:22:05" endDate="2025-10-11T05:20:06"/>
        <groupItems count="368">
          <s v="&lt;5/30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1/2025"/>
        </groupItems>
      </fieldGroup>
    </cacheField>
    <cacheField name="Months (derived-searchDatePST)" numFmtId="0" databaseField="0">
      <fieldGroup base="5">
        <rangePr groupBy="months" startDate="2025-05-30T08:22:05" endDate="2025-10-11T05:20:06"/>
        <groupItems count="14">
          <s v="&lt;5/3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1/2025"/>
        </groupItems>
      </fieldGroup>
    </cacheField>
  </cacheFields>
  <extLst>
    <ext xmlns:x14="http://schemas.microsoft.com/office/spreadsheetml/2009/9/main" uri="{725AE2AE-9491-48be-B2B4-4EB974FC3084}">
      <x14:pivotCacheDefinition pivotCacheId="11232501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s v="cbd75729-41cb-4ef9-9292-2aaacb16bef3"/>
    <x v="0"/>
    <x v="0"/>
    <n v="620"/>
    <x v="0"/>
    <x v="0"/>
    <x v="0"/>
    <x v="0"/>
  </r>
  <r>
    <s v="72a96e8c-bbe8-42c0-b316-3ba5f7b5196f"/>
    <x v="1"/>
    <x v="1"/>
    <n v="0"/>
    <x v="1"/>
    <x v="1"/>
    <x v="1"/>
    <x v="1"/>
  </r>
  <r>
    <s v="10630560-d694-4892-8a2b-bc4cc6ee22dc"/>
    <x v="0"/>
    <x v="2"/>
    <n v="620"/>
    <x v="2"/>
    <x v="2"/>
    <x v="2"/>
    <x v="0"/>
  </r>
  <r>
    <s v="cf512d42-ea6f-4c63-84d4-4a19ad810030"/>
    <x v="1"/>
    <x v="3"/>
    <n v="0"/>
    <x v="1"/>
    <x v="3"/>
    <x v="3"/>
    <x v="1"/>
  </r>
  <r>
    <s v="981129cc-901f-4825-8150-63679df2ca82"/>
    <x v="0"/>
    <x v="4"/>
    <n v="620"/>
    <x v="3"/>
    <x v="4"/>
    <x v="4"/>
    <x v="0"/>
  </r>
  <r>
    <s v="7529022c-98f7-4b2e-a45f-537576e53cb8"/>
    <x v="0"/>
    <x v="5"/>
    <n v="620"/>
    <x v="3"/>
    <x v="5"/>
    <x v="4"/>
    <x v="0"/>
  </r>
  <r>
    <s v="7a3e9e6e-1917-421b-9b73-165d0a05bf24"/>
    <x v="0"/>
    <x v="6"/>
    <n v="620"/>
    <x v="3"/>
    <x v="6"/>
    <x v="5"/>
    <x v="0"/>
  </r>
  <r>
    <s v="2b50057e-fc9f-4515-8eab-0235344e3864"/>
    <x v="0"/>
    <x v="7"/>
    <n v="128"/>
    <x v="4"/>
    <x v="7"/>
    <x v="6"/>
    <x v="0"/>
  </r>
  <r>
    <s v="336b77ea-8c55-41e4-ae7b-d295e76d873b"/>
    <x v="2"/>
    <x v="8"/>
    <n v="633"/>
    <x v="1"/>
    <x v="8"/>
    <x v="7"/>
    <x v="2"/>
  </r>
  <r>
    <s v="e0e73582-1e44-4f9f-9602-e12b3ec11da7"/>
    <x v="0"/>
    <x v="9"/>
    <n v="620"/>
    <x v="0"/>
    <x v="9"/>
    <x v="0"/>
    <x v="0"/>
  </r>
  <r>
    <s v="9c54b820-26e2-492a-a686-32da685f9827"/>
    <x v="0"/>
    <x v="10"/>
    <n v="620"/>
    <x v="0"/>
    <x v="10"/>
    <x v="8"/>
    <x v="0"/>
  </r>
  <r>
    <s v="07a8d092-9f77-45ad-b4bd-35379ed9dc57"/>
    <x v="0"/>
    <x v="11"/>
    <n v="620"/>
    <x v="5"/>
    <x v="11"/>
    <x v="3"/>
    <x v="0"/>
  </r>
  <r>
    <s v="9a7277ac-f524-43b8-9c8a-ac07c2bd36ec"/>
    <x v="0"/>
    <x v="12"/>
    <n v="620"/>
    <x v="3"/>
    <x v="12"/>
    <x v="9"/>
    <x v="0"/>
  </r>
  <r>
    <s v="96f033a8-7d2d-4f49-b586-1e4e19d9655e"/>
    <x v="0"/>
    <x v="13"/>
    <n v="620"/>
    <x v="6"/>
    <x v="13"/>
    <x v="10"/>
    <x v="0"/>
  </r>
  <r>
    <s v="9e7f5c8a-ba4b-44bc-9b46-889795d8ff52"/>
    <x v="2"/>
    <x v="14"/>
    <n v="689"/>
    <x v="1"/>
    <x v="14"/>
    <x v="1"/>
    <x v="2"/>
  </r>
  <r>
    <s v="7a954e93-a3ae-4a0c-b70f-f46bf22682e1"/>
    <x v="3"/>
    <x v="15"/>
    <n v="0"/>
    <x v="1"/>
    <x v="15"/>
    <x v="6"/>
    <x v="3"/>
  </r>
  <r>
    <s v="118b7cad-1166-451c-a447-f71c8dcd4070"/>
    <x v="0"/>
    <x v="16"/>
    <n v="626"/>
    <x v="3"/>
    <x v="16"/>
    <x v="7"/>
    <x v="0"/>
  </r>
  <r>
    <s v="4cd0cc17-b623-495e-897c-2c8ddb3c4d69"/>
    <x v="0"/>
    <x v="17"/>
    <n v="626"/>
    <x v="7"/>
    <x v="17"/>
    <x v="11"/>
    <x v="0"/>
  </r>
  <r>
    <s v="6671cc46-888a-4d15-97a1-b2cd3232e0c0"/>
    <x v="0"/>
    <x v="18"/>
    <n v="626"/>
    <x v="7"/>
    <x v="18"/>
    <x v="12"/>
    <x v="0"/>
  </r>
  <r>
    <s v="affc72ee-f1ab-434f-8b5d-86fde3304b16"/>
    <x v="0"/>
    <x v="19"/>
    <n v="626"/>
    <x v="8"/>
    <x v="19"/>
    <x v="13"/>
    <x v="0"/>
  </r>
  <r>
    <s v="cb6defde-0d9a-4570-95a6-c40a1e5b02ff"/>
    <x v="0"/>
    <x v="20"/>
    <n v="626"/>
    <x v="9"/>
    <x v="20"/>
    <x v="14"/>
    <x v="0"/>
  </r>
  <r>
    <s v="540f8adc-fd6a-47af-8223-2b0dfb9baea3"/>
    <x v="0"/>
    <x v="21"/>
    <n v="626"/>
    <x v="9"/>
    <x v="21"/>
    <x v="15"/>
    <x v="0"/>
  </r>
  <r>
    <s v="a1464b11-f609-4764-8a07-849e3d9b746a"/>
    <x v="0"/>
    <x v="22"/>
    <n v="626"/>
    <x v="0"/>
    <x v="22"/>
    <x v="15"/>
    <x v="0"/>
  </r>
  <r>
    <s v="406430ab-2ab0-4a4a-bc9a-eae273b685f0"/>
    <x v="0"/>
    <x v="23"/>
    <n v="3874"/>
    <x v="9"/>
    <x v="23"/>
    <x v="0"/>
    <x v="0"/>
  </r>
  <r>
    <s v="67a0cb4a-3b46-49fc-a786-e8419b59ca06"/>
    <x v="0"/>
    <x v="24"/>
    <n v="3874"/>
    <x v="0"/>
    <x v="24"/>
    <x v="0"/>
    <x v="0"/>
  </r>
  <r>
    <s v="9d3d0d72-0735-4dfd-bf60-0122c3069508"/>
    <x v="0"/>
    <x v="25"/>
    <n v="3874"/>
    <x v="0"/>
    <x v="25"/>
    <x v="16"/>
    <x v="0"/>
  </r>
  <r>
    <s v="73369a65-3a9b-4aef-a3f8-3c27c9756b09"/>
    <x v="0"/>
    <x v="26"/>
    <n v="3874"/>
    <x v="3"/>
    <x v="26"/>
    <x v="17"/>
    <x v="0"/>
  </r>
  <r>
    <s v="9f5b5e1d-b3f9-41ea-98c4-c7046804b35d"/>
    <x v="0"/>
    <x v="27"/>
    <n v="3876"/>
    <x v="3"/>
    <x v="27"/>
    <x v="18"/>
    <x v="0"/>
  </r>
  <r>
    <s v="c022324e-7d53-4ae7-aa51-691519b3a448"/>
    <x v="0"/>
    <x v="28"/>
    <n v="84379"/>
    <x v="7"/>
    <x v="28"/>
    <x v="19"/>
    <x v="0"/>
  </r>
  <r>
    <s v="bf385820-9b5c-4763-8441-eee1421f459f"/>
    <x v="0"/>
    <x v="29"/>
    <n v="166"/>
    <x v="10"/>
    <x v="29"/>
    <x v="20"/>
    <x v="0"/>
  </r>
  <r>
    <s v="8da47357-87c1-4428-805f-a8c87b2cb3a4"/>
    <x v="0"/>
    <x v="30"/>
    <n v="3878"/>
    <x v="10"/>
    <x v="30"/>
    <x v="20"/>
    <x v="0"/>
  </r>
  <r>
    <s v="8fae266b-5014-430e-b284-62668eb9a939"/>
    <x v="0"/>
    <x v="31"/>
    <n v="3878"/>
    <x v="11"/>
    <x v="31"/>
    <x v="21"/>
    <x v="0"/>
  </r>
  <r>
    <s v="77769c6c-5ecc-4bd1-b21e-d2f1d672094e"/>
    <x v="0"/>
    <x v="32"/>
    <n v="3878"/>
    <x v="7"/>
    <x v="32"/>
    <x v="6"/>
    <x v="0"/>
  </r>
  <r>
    <s v="58cb97dd-49b6-4d84-a85a-9992298b187a"/>
    <x v="2"/>
    <x v="33"/>
    <n v="3962"/>
    <x v="1"/>
    <x v="33"/>
    <x v="9"/>
    <x v="2"/>
  </r>
  <r>
    <s v="52dd0f5f-5f6c-441d-8893-eeefbd1bd621"/>
    <x v="3"/>
    <x v="34"/>
    <n v="0"/>
    <x v="12"/>
    <x v="34"/>
    <x v="22"/>
    <x v="3"/>
  </r>
  <r>
    <s v="6a5665d9-8020-4167-995e-1a69acaacfb9"/>
    <x v="2"/>
    <x v="35"/>
    <n v="3962"/>
    <x v="1"/>
    <x v="35"/>
    <x v="16"/>
    <x v="2"/>
  </r>
  <r>
    <s v="a7b51659-c3c7-4683-8e30-8b5350f3a4dc"/>
    <x v="0"/>
    <x v="36"/>
    <n v="3880"/>
    <x v="13"/>
    <x v="36"/>
    <x v="5"/>
    <x v="0"/>
  </r>
  <r>
    <s v="648899ff-723c-43b1-a462-411843a0a183"/>
    <x v="0"/>
    <x v="37"/>
    <n v="3880"/>
    <x v="13"/>
    <x v="37"/>
    <x v="12"/>
    <x v="0"/>
  </r>
  <r>
    <s v="ea295634-29e0-41ef-ac9f-7bf440c91541"/>
    <x v="4"/>
    <x v="38"/>
    <n v="3880"/>
    <x v="14"/>
    <x v="38"/>
    <x v="6"/>
    <x v="4"/>
  </r>
  <r>
    <s v="2506875d-54bc-41c4-99cd-b5085c681f9e"/>
    <x v="4"/>
    <x v="39"/>
    <n v="3880"/>
    <x v="5"/>
    <x v="39"/>
    <x v="6"/>
    <x v="4"/>
  </r>
  <r>
    <s v="7f7f6479-3a81-4899-99bc-87c0323b6c57"/>
    <x v="0"/>
    <x v="40"/>
    <n v="3882"/>
    <x v="0"/>
    <x v="40"/>
    <x v="23"/>
    <x v="0"/>
  </r>
  <r>
    <s v="fdf68e18-cae0-4f6c-a579-ecbcc7789309"/>
    <x v="0"/>
    <x v="41"/>
    <n v="151"/>
    <x v="4"/>
    <x v="41"/>
    <x v="19"/>
    <x v="0"/>
  </r>
  <r>
    <s v="11e172b2-bbe8-4afa-ba3d-f836ab1fb220"/>
    <x v="0"/>
    <x v="42"/>
    <n v="3882"/>
    <x v="0"/>
    <x v="42"/>
    <x v="24"/>
    <x v="0"/>
  </r>
  <r>
    <s v="9fca1c7c-ca0a-4409-baf9-b5c1e412f7ad"/>
    <x v="0"/>
    <x v="43"/>
    <n v="3871"/>
    <x v="0"/>
    <x v="43"/>
    <x v="19"/>
    <x v="0"/>
  </r>
  <r>
    <s v="176ed0cc-5893-46d5-9a78-b4b37a1a95bf"/>
    <x v="0"/>
    <x v="44"/>
    <n v="3871"/>
    <x v="15"/>
    <x v="44"/>
    <x v="0"/>
    <x v="0"/>
  </r>
  <r>
    <s v="a96b2e8c-113b-4164-a686-61b6948fa54a"/>
    <x v="5"/>
    <x v="45"/>
    <n v="3871"/>
    <x v="15"/>
    <x v="45"/>
    <x v="25"/>
    <x v="5"/>
  </r>
  <r>
    <s v="fdb8f71d-c2ea-4d00-9bd6-8fd3230a5761"/>
    <x v="5"/>
    <x v="46"/>
    <n v="3871"/>
    <x v="15"/>
    <x v="46"/>
    <x v="7"/>
    <x v="5"/>
  </r>
  <r>
    <s v="70d554fb-e00b-4a2d-82cd-3a2dc69d2fd7"/>
    <x v="6"/>
    <x v="47"/>
    <n v="30"/>
    <x v="16"/>
    <x v="47"/>
    <x v="26"/>
    <x v="6"/>
  </r>
  <r>
    <s v="2e4e7de7-ec81-456a-bcc1-fe32ccb62025"/>
    <x v="6"/>
    <x v="48"/>
    <n v="3871"/>
    <x v="17"/>
    <x v="48"/>
    <x v="26"/>
    <x v="6"/>
  </r>
  <r>
    <s v="433047f1-59b6-4030-9432-96a4931833c2"/>
    <x v="5"/>
    <x v="49"/>
    <n v="3873"/>
    <x v="18"/>
    <x v="49"/>
    <x v="27"/>
    <x v="5"/>
  </r>
  <r>
    <s v="af512dfb-969d-463f-bb68-4a930b92ec3c"/>
    <x v="5"/>
    <x v="50"/>
    <n v="3873"/>
    <x v="18"/>
    <x v="50"/>
    <x v="15"/>
    <x v="5"/>
  </r>
  <r>
    <s v="8ea4019c-fdaf-43fe-afd9-d1f1da5ddbe4"/>
    <x v="0"/>
    <x v="51"/>
    <n v="85080"/>
    <x v="7"/>
    <x v="51"/>
    <x v="25"/>
    <x v="0"/>
  </r>
  <r>
    <s v="e38f543a-41da-442e-8ddf-74a1ab885f9c"/>
    <x v="5"/>
    <x v="52"/>
    <n v="3873"/>
    <x v="18"/>
    <x v="52"/>
    <x v="7"/>
    <x v="5"/>
  </r>
  <r>
    <s v="72c12484-ae1e-4624-85c0-588d317d4890"/>
    <x v="7"/>
    <x v="53"/>
    <n v="0"/>
    <x v="0"/>
    <x v="53"/>
    <x v="17"/>
    <x v="7"/>
  </r>
  <r>
    <s v="8a313094-05b2-4a48-a577-b127fb96f5e9"/>
    <x v="7"/>
    <x v="54"/>
    <n v="3873"/>
    <x v="0"/>
    <x v="54"/>
    <x v="17"/>
    <x v="7"/>
  </r>
  <r>
    <s v="cd359d18-5784-431c-b0e3-336479bbb9cd"/>
    <x v="7"/>
    <x v="55"/>
    <n v="3873"/>
    <x v="19"/>
    <x v="55"/>
    <x v="28"/>
    <x v="7"/>
  </r>
  <r>
    <s v="d767b8cd-ae94-43f5-a9bf-a1890f25184e"/>
    <x v="8"/>
    <x v="56"/>
    <n v="3875"/>
    <x v="0"/>
    <x v="56"/>
    <x v="29"/>
    <x v="8"/>
  </r>
  <r>
    <s v="87b3efb4-08f5-411b-95d7-51822b9673b8"/>
    <x v="8"/>
    <x v="57"/>
    <n v="3875"/>
    <x v="19"/>
    <x v="57"/>
    <x v="5"/>
    <x v="8"/>
  </r>
  <r>
    <s v="95587639-af0e-441b-a6ca-c36bfe239440"/>
    <x v="5"/>
    <x v="58"/>
    <n v="3875"/>
    <x v="18"/>
    <x v="58"/>
    <x v="30"/>
    <x v="5"/>
  </r>
  <r>
    <s v="aa8339b9-c6ff-447b-91c2-ec6e593b76a0"/>
    <x v="7"/>
    <x v="59"/>
    <n v="3877"/>
    <x v="0"/>
    <x v="59"/>
    <x v="31"/>
    <x v="7"/>
  </r>
  <r>
    <s v="d29e7914-f37a-46b0-b925-7bad720403f1"/>
    <x v="5"/>
    <x v="60"/>
    <n v="3877"/>
    <x v="18"/>
    <x v="60"/>
    <x v="32"/>
    <x v="5"/>
  </r>
  <r>
    <s v="73358473-6d42-4c6e-9781-36befb8c01a4"/>
    <x v="5"/>
    <x v="61"/>
    <n v="3878"/>
    <x v="18"/>
    <x v="61"/>
    <x v="3"/>
    <x v="5"/>
  </r>
  <r>
    <s v="11d1f55b-b929-4a93-8321-d00811c689ab"/>
    <x v="0"/>
    <x v="62"/>
    <n v="3878"/>
    <x v="0"/>
    <x v="62"/>
    <x v="33"/>
    <x v="0"/>
  </r>
  <r>
    <s v="1ad46919-c2b8-4758-9e9a-55c496f59df2"/>
    <x v="9"/>
    <x v="63"/>
    <n v="3880"/>
    <x v="20"/>
    <x v="63"/>
    <x v="8"/>
    <x v="9"/>
  </r>
  <r>
    <s v="42a67fa4-ae87-45d3-a1e6-045c663aaa0d"/>
    <x v="9"/>
    <x v="64"/>
    <n v="3884"/>
    <x v="20"/>
    <x v="64"/>
    <x v="7"/>
    <x v="9"/>
  </r>
  <r>
    <s v="ac71bbe8-72be-4831-9278-69c99e5b92c4"/>
    <x v="9"/>
    <x v="65"/>
    <n v="0"/>
    <x v="20"/>
    <x v="65"/>
    <x v="30"/>
    <x v="9"/>
  </r>
  <r>
    <s v="b0e49021-e782-44e1-bf76-12812476e834"/>
    <x v="10"/>
    <x v="66"/>
    <n v="0"/>
    <x v="21"/>
    <x v="66"/>
    <x v="4"/>
    <x v="10"/>
  </r>
  <r>
    <s v="d744072b-1bff-46eb-ad01-29c27abf07f8"/>
    <x v="10"/>
    <x v="67"/>
    <n v="0"/>
    <x v="22"/>
    <x v="67"/>
    <x v="4"/>
    <x v="10"/>
  </r>
  <r>
    <s v="8d6cc21e-0e5d-46de-9ac7-e4dc7bc496f9"/>
    <x v="10"/>
    <x v="68"/>
    <n v="0"/>
    <x v="23"/>
    <x v="68"/>
    <x v="4"/>
    <x v="10"/>
  </r>
  <r>
    <s v="8e3d3176-6f80-48b1-8fcb-62b7e5c7bba3"/>
    <x v="10"/>
    <x v="69"/>
    <n v="0"/>
    <x v="24"/>
    <x v="69"/>
    <x v="4"/>
    <x v="10"/>
  </r>
  <r>
    <s v="4066052f-fe96-4bcb-aee4-2b3ae873610c"/>
    <x v="5"/>
    <x v="70"/>
    <n v="3900"/>
    <x v="25"/>
    <x v="70"/>
    <x v="10"/>
    <x v="5"/>
  </r>
  <r>
    <s v="2a13d9cc-c351-4039-82c6-8c3050ac81a8"/>
    <x v="0"/>
    <x v="71"/>
    <n v="3881"/>
    <x v="26"/>
    <x v="71"/>
    <x v="34"/>
    <x v="0"/>
  </r>
  <r>
    <s v="b1cb0e1a-04b3-435a-a4da-2c62de8f62cf"/>
    <x v="0"/>
    <x v="72"/>
    <n v="3893"/>
    <x v="3"/>
    <x v="72"/>
    <x v="35"/>
    <x v="0"/>
  </r>
  <r>
    <s v="dc3e3cbf-61d8-4ee0-8092-3ceb03581a38"/>
    <x v="0"/>
    <x v="73"/>
    <n v="116"/>
    <x v="3"/>
    <x v="73"/>
    <x v="1"/>
    <x v="0"/>
  </r>
  <r>
    <s v="21982ef7-d6ee-4c85-9063-9d53c1dec20c"/>
    <x v="11"/>
    <x v="74"/>
    <n v="87296"/>
    <x v="20"/>
    <x v="74"/>
    <x v="36"/>
    <x v="11"/>
  </r>
  <r>
    <s v="7f44f9f1-42c5-4077-923d-5292ede3ff13"/>
    <x v="10"/>
    <x v="75"/>
    <n v="0"/>
    <x v="0"/>
    <x v="75"/>
    <x v="11"/>
    <x v="10"/>
  </r>
  <r>
    <s v="5fd14f91-53d6-406e-aa7a-215bf5e42a27"/>
    <x v="10"/>
    <x v="76"/>
    <n v="0"/>
    <x v="20"/>
    <x v="76"/>
    <x v="37"/>
    <x v="10"/>
  </r>
  <r>
    <s v="86c799fa-e113-4992-bbad-ab358d3e1a0a"/>
    <x v="9"/>
    <x v="77"/>
    <n v="0"/>
    <x v="20"/>
    <x v="77"/>
    <x v="37"/>
    <x v="9"/>
  </r>
  <r>
    <s v="b0dde9a7-ddcc-4817-a320-683f367e04bb"/>
    <x v="9"/>
    <x v="78"/>
    <n v="3894"/>
    <x v="27"/>
    <x v="78"/>
    <x v="37"/>
    <x v="9"/>
  </r>
  <r>
    <s v="0d68a95c-be72-4311-9c36-c1aef595319e"/>
    <x v="10"/>
    <x v="79"/>
    <n v="3894"/>
    <x v="28"/>
    <x v="79"/>
    <x v="29"/>
    <x v="10"/>
  </r>
  <r>
    <s v="dcca9911-aa29-4880-a7db-6f0844e362e7"/>
    <x v="10"/>
    <x v="80"/>
    <n v="3894"/>
    <x v="29"/>
    <x v="80"/>
    <x v="5"/>
    <x v="10"/>
  </r>
  <r>
    <s v="20c0c4be-d012-4880-912c-f2dd5a25e0aa"/>
    <x v="0"/>
    <x v="81"/>
    <n v="3894"/>
    <x v="0"/>
    <x v="81"/>
    <x v="3"/>
    <x v="0"/>
  </r>
  <r>
    <s v="50a7412e-80b0-4cbf-a1cd-fce8b76edf5c"/>
    <x v="12"/>
    <x v="82"/>
    <n v="3894"/>
    <x v="30"/>
    <x v="82"/>
    <x v="38"/>
    <x v="12"/>
  </r>
  <r>
    <s v="9aeb10e7-d598-434c-9dc4-9b1f07b022e7"/>
    <x v="12"/>
    <x v="83"/>
    <n v="3894"/>
    <x v="15"/>
    <x v="83"/>
    <x v="38"/>
    <x v="12"/>
  </r>
  <r>
    <s v="fc7d8a7e-da8f-4ea1-8d44-5acbdc1a7972"/>
    <x v="12"/>
    <x v="84"/>
    <n v="3899"/>
    <x v="31"/>
    <x v="84"/>
    <x v="39"/>
    <x v="12"/>
  </r>
  <r>
    <s v="df4a5d2e-b952-4408-9bf9-caf63a865f9d"/>
    <x v="13"/>
    <x v="85"/>
    <n v="3899"/>
    <x v="31"/>
    <x v="85"/>
    <x v="39"/>
    <x v="13"/>
  </r>
  <r>
    <s v="ea15d7b4-3ec0-4d3d-b361-e44c5c784f22"/>
    <x v="0"/>
    <x v="86"/>
    <n v="118"/>
    <x v="3"/>
    <x v="86"/>
    <x v="19"/>
    <x v="0"/>
  </r>
  <r>
    <s v="460543ea-4cf9-425e-9e90-55f182e28eeb"/>
    <x v="0"/>
    <x v="87"/>
    <n v="3904"/>
    <x v="3"/>
    <x v="87"/>
    <x v="8"/>
    <x v="0"/>
  </r>
  <r>
    <s v="47f5c30a-17d1-424c-9666-948064d33fd0"/>
    <x v="0"/>
    <x v="88"/>
    <n v="3904"/>
    <x v="32"/>
    <x v="88"/>
    <x v="16"/>
    <x v="0"/>
  </r>
  <r>
    <s v="f20e205e-bed2-4254-a314-1cf6566e1e84"/>
    <x v="5"/>
    <x v="89"/>
    <n v="3904"/>
    <x v="25"/>
    <x v="89"/>
    <x v="35"/>
    <x v="5"/>
  </r>
  <r>
    <s v="71e6a4ec-11be-46ab-ae1d-b98cdd8925d6"/>
    <x v="5"/>
    <x v="90"/>
    <n v="3904"/>
    <x v="25"/>
    <x v="90"/>
    <x v="0"/>
    <x v="5"/>
  </r>
  <r>
    <s v="ea3016d2-ec86-4304-b5a6-4386ccd63221"/>
    <x v="0"/>
    <x v="91"/>
    <n v="3904"/>
    <x v="33"/>
    <x v="91"/>
    <x v="12"/>
    <x v="0"/>
  </r>
  <r>
    <s v="4c3d7b38-265a-46c8-8ca7-64d556270bc4"/>
    <x v="0"/>
    <x v="92"/>
    <n v="3904"/>
    <x v="25"/>
    <x v="92"/>
    <x v="23"/>
    <x v="0"/>
  </r>
  <r>
    <s v="b9c2ff7a-ae54-4371-9fc8-71990005b8b9"/>
    <x v="9"/>
    <x v="93"/>
    <n v="3904"/>
    <x v="34"/>
    <x v="93"/>
    <x v="15"/>
    <x v="9"/>
  </r>
  <r>
    <s v="e29229c6-9016-4676-a450-eb505d21c897"/>
    <x v="9"/>
    <x v="94"/>
    <n v="3904"/>
    <x v="34"/>
    <x v="94"/>
    <x v="8"/>
    <x v="9"/>
  </r>
  <r>
    <s v="265af370-c870-4b45-a7ee-bb89f295a17d"/>
    <x v="9"/>
    <x v="95"/>
    <n v="3904"/>
    <x v="34"/>
    <x v="95"/>
    <x v="7"/>
    <x v="9"/>
  </r>
  <r>
    <s v="bd860c63-b4b0-4fb8-90ce-7a06e61c9bbc"/>
    <x v="9"/>
    <x v="96"/>
    <n v="3905"/>
    <x v="34"/>
    <x v="96"/>
    <x v="4"/>
    <x v="9"/>
  </r>
  <r>
    <s v="0c185dce-8f67-4b61-86db-31c477843c29"/>
    <x v="9"/>
    <x v="97"/>
    <n v="3905"/>
    <x v="34"/>
    <x v="97"/>
    <x v="40"/>
    <x v="9"/>
  </r>
  <r>
    <s v="7ce4240b-8816-4189-991f-4cbdea27dbfe"/>
    <x v="14"/>
    <x v="98"/>
    <n v="3905"/>
    <x v="18"/>
    <x v="98"/>
    <x v="21"/>
    <x v="14"/>
  </r>
  <r>
    <s v="5eaf919c-7391-4e52-8834-085c28b95bc2"/>
    <x v="14"/>
    <x v="99"/>
    <n v="3905"/>
    <x v="35"/>
    <x v="99"/>
    <x v="21"/>
    <x v="14"/>
  </r>
  <r>
    <s v="b4a81b5c-5214-4726-a23e-ea3fabba5e10"/>
    <x v="14"/>
    <x v="100"/>
    <n v="3905"/>
    <x v="36"/>
    <x v="100"/>
    <x v="41"/>
    <x v="14"/>
  </r>
  <r>
    <s v="f41013bf-cf26-4c4f-9c93-09e2d4f7ea84"/>
    <x v="14"/>
    <x v="101"/>
    <n v="3905"/>
    <x v="37"/>
    <x v="101"/>
    <x v="41"/>
    <x v="14"/>
  </r>
  <r>
    <s v="e0f53b81-6d99-411b-b09c-301526b4ff7e"/>
    <x v="15"/>
    <x v="102"/>
    <n v="3905"/>
    <x v="38"/>
    <x v="102"/>
    <x v="42"/>
    <x v="15"/>
  </r>
  <r>
    <s v="12b791c5-106b-4660-920d-67c231151a2f"/>
    <x v="14"/>
    <x v="103"/>
    <n v="3905"/>
    <x v="37"/>
    <x v="103"/>
    <x v="18"/>
    <x v="14"/>
  </r>
  <r>
    <s v="d83ad9a5-c3bc-43e2-a842-cad970196187"/>
    <x v="15"/>
    <x v="104"/>
    <n v="3905"/>
    <x v="38"/>
    <x v="104"/>
    <x v="43"/>
    <x v="15"/>
  </r>
  <r>
    <s v="54027113-87d4-4486-abd8-fd6dd6009acd"/>
    <x v="0"/>
    <x v="105"/>
    <n v="3912"/>
    <x v="39"/>
    <x v="105"/>
    <x v="15"/>
    <x v="0"/>
  </r>
  <r>
    <s v="f2bf4cd4-9efa-4967-927b-f5fc6de1dd00"/>
    <x v="5"/>
    <x v="106"/>
    <n v="3918"/>
    <x v="12"/>
    <x v="106"/>
    <x v="8"/>
    <x v="5"/>
  </r>
  <r>
    <s v="a14413b1-55ee-43fd-819f-455584a1aa28"/>
    <x v="0"/>
    <x v="107"/>
    <n v="3922"/>
    <x v="40"/>
    <x v="107"/>
    <x v="11"/>
    <x v="0"/>
  </r>
  <r>
    <s v="d16304ff-3819-46aa-9746-9865f68ae0ee"/>
    <x v="0"/>
    <x v="108"/>
    <n v="3922"/>
    <x v="40"/>
    <x v="108"/>
    <x v="30"/>
    <x v="0"/>
  </r>
  <r>
    <s v="7bc2bc0d-8d10-46d3-a5f5-57fcfe03aacf"/>
    <x v="0"/>
    <x v="109"/>
    <n v="3922"/>
    <x v="40"/>
    <x v="109"/>
    <x v="4"/>
    <x v="0"/>
  </r>
  <r>
    <s v="c9e0cdb0-74e0-4afe-bdff-2cc5fd6a2a05"/>
    <x v="5"/>
    <x v="110"/>
    <n v="3922"/>
    <x v="41"/>
    <x v="110"/>
    <x v="13"/>
    <x v="5"/>
  </r>
  <r>
    <s v="19f13259-f971-4154-bd9c-dc794e867402"/>
    <x v="0"/>
    <x v="111"/>
    <n v="3922"/>
    <x v="40"/>
    <x v="111"/>
    <x v="3"/>
    <x v="0"/>
  </r>
  <r>
    <s v="5d4f9692-d5d1-4013-aabc-8c436c4c7675"/>
    <x v="5"/>
    <x v="112"/>
    <n v="3922"/>
    <x v="41"/>
    <x v="112"/>
    <x v="2"/>
    <x v="5"/>
  </r>
  <r>
    <s v="a6034598-e792-4262-9e59-c877f5af4f73"/>
    <x v="0"/>
    <x v="113"/>
    <n v="3922"/>
    <x v="40"/>
    <x v="113"/>
    <x v="14"/>
    <x v="0"/>
  </r>
  <r>
    <s v="925f3eb6-170b-47c3-95a2-2bf0a170611f"/>
    <x v="0"/>
    <x v="114"/>
    <n v="81959"/>
    <x v="40"/>
    <x v="114"/>
    <x v="44"/>
    <x v="0"/>
  </r>
  <r>
    <s v="d5bbd664-30ba-4b4a-8060-b2d224c48354"/>
    <x v="16"/>
    <x v="115"/>
    <n v="3922"/>
    <x v="42"/>
    <x v="115"/>
    <x v="45"/>
    <x v="16"/>
  </r>
  <r>
    <s v="bf28f864-478b-446f-9cf9-7d59ca45116e"/>
    <x v="0"/>
    <x v="116"/>
    <n v="3922"/>
    <x v="42"/>
    <x v="116"/>
    <x v="45"/>
    <x v="0"/>
  </r>
  <r>
    <s v="770d7191-27dd-4cc5-949b-b2c0b02fcf81"/>
    <x v="16"/>
    <x v="117"/>
    <n v="3922"/>
    <x v="42"/>
    <x v="117"/>
    <x v="46"/>
    <x v="16"/>
  </r>
  <r>
    <s v="68bcf21b-fa6c-4759-9d5a-af7bd0e40c7c"/>
    <x v="0"/>
    <x v="118"/>
    <n v="81965"/>
    <x v="40"/>
    <x v="118"/>
    <x v="46"/>
    <x v="0"/>
  </r>
  <r>
    <s v="fe9eccf2-25b2-4de0-8ae9-f0faa8d2bde9"/>
    <x v="17"/>
    <x v="119"/>
    <n v="0"/>
    <x v="43"/>
    <x v="119"/>
    <x v="46"/>
    <x v="17"/>
  </r>
  <r>
    <s v="f27db90a-1962-4d16-be94-b713cf23d9f5"/>
    <x v="0"/>
    <x v="120"/>
    <n v="3922"/>
    <x v="42"/>
    <x v="120"/>
    <x v="47"/>
    <x v="0"/>
  </r>
  <r>
    <s v="df11f0cf-d3aa-484e-8d1c-f6b27a5632e6"/>
    <x v="0"/>
    <x v="121"/>
    <n v="3922"/>
    <x v="42"/>
    <x v="121"/>
    <x v="47"/>
    <x v="0"/>
  </r>
  <r>
    <s v="84f895ea-abe5-4492-bd60-dd8d0f6654e9"/>
    <x v="16"/>
    <x v="122"/>
    <n v="3922"/>
    <x v="42"/>
    <x v="122"/>
    <x v="47"/>
    <x v="16"/>
  </r>
  <r>
    <s v="ef02dec6-02c1-4d32-9779-031cadcb3ee9"/>
    <x v="4"/>
    <x v="123"/>
    <n v="3922"/>
    <x v="1"/>
    <x v="123"/>
    <x v="48"/>
    <x v="4"/>
  </r>
  <r>
    <s v="88efe4ae-9f94-4133-8f87-856962a0c911"/>
    <x v="0"/>
    <x v="124"/>
    <n v="3922"/>
    <x v="42"/>
    <x v="124"/>
    <x v="49"/>
    <x v="0"/>
  </r>
  <r>
    <s v="6821cb2f-5b3a-4bca-aec7-873a9845d93f"/>
    <x v="4"/>
    <x v="125"/>
    <n v="81967"/>
    <x v="1"/>
    <x v="125"/>
    <x v="50"/>
    <x v="4"/>
  </r>
  <r>
    <s v="482358c8-955d-4c1e-b4cb-090fcde58dcf"/>
    <x v="0"/>
    <x v="126"/>
    <n v="3922"/>
    <x v="40"/>
    <x v="126"/>
    <x v="50"/>
    <x v="0"/>
  </r>
  <r>
    <s v="9182239b-3d2f-48d2-b7eb-1c97abd90afe"/>
    <x v="0"/>
    <x v="127"/>
    <n v="3922"/>
    <x v="19"/>
    <x v="127"/>
    <x v="18"/>
    <x v="0"/>
  </r>
  <r>
    <s v="723c2074-7dad-485a-a4b3-e7c9a65ba835"/>
    <x v="0"/>
    <x v="128"/>
    <n v="3922"/>
    <x v="42"/>
    <x v="128"/>
    <x v="18"/>
    <x v="0"/>
  </r>
  <r>
    <s v="8263285a-c011-478d-9698-4154537b1d47"/>
    <x v="0"/>
    <x v="129"/>
    <n v="3922"/>
    <x v="42"/>
    <x v="129"/>
    <x v="43"/>
    <x v="0"/>
  </r>
  <r>
    <s v="4c648ee3-3f89-4698-aad8-1ff9072c38c4"/>
    <x v="16"/>
    <x v="130"/>
    <n v="3922"/>
    <x v="42"/>
    <x v="130"/>
    <x v="36"/>
    <x v="16"/>
  </r>
  <r>
    <s v="9ad9b748-d47a-4abf-82d8-85e43d6b10fd"/>
    <x v="12"/>
    <x v="131"/>
    <n v="3922"/>
    <x v="44"/>
    <x v="131"/>
    <x v="51"/>
    <x v="12"/>
  </r>
  <r>
    <s v="68da60c8-24d0-4a8b-9f59-a7a9c6c605ec"/>
    <x v="12"/>
    <x v="132"/>
    <n v="3922"/>
    <x v="44"/>
    <x v="132"/>
    <x v="52"/>
    <x v="12"/>
  </r>
  <r>
    <s v="e5188d48-a162-45c2-83ce-ea3145203677"/>
    <x v="12"/>
    <x v="133"/>
    <n v="3922"/>
    <x v="44"/>
    <x v="133"/>
    <x v="53"/>
    <x v="12"/>
  </r>
  <r>
    <s v="35eb290b-74cc-42b0-9971-e8d664ec71c7"/>
    <x v="12"/>
    <x v="134"/>
    <n v="3922"/>
    <x v="44"/>
    <x v="134"/>
    <x v="54"/>
    <x v="12"/>
  </r>
  <r>
    <s v="f90cf408-3b70-459e-848e-bdbfcb7dfa40"/>
    <x v="12"/>
    <x v="135"/>
    <n v="3922"/>
    <x v="44"/>
    <x v="135"/>
    <x v="55"/>
    <x v="12"/>
  </r>
  <r>
    <s v="dff539cd-f1ac-44d6-a6e0-6e25944aa5e1"/>
    <x v="13"/>
    <x v="136"/>
    <n v="0"/>
    <x v="45"/>
    <x v="136"/>
    <x v="56"/>
    <x v="13"/>
  </r>
  <r>
    <s v="ba084469-548f-4029-9e44-e1b12f57b059"/>
    <x v="13"/>
    <x v="137"/>
    <n v="0"/>
    <x v="46"/>
    <x v="137"/>
    <x v="56"/>
    <x v="13"/>
  </r>
  <r>
    <s v="9ed8ad2c-dad1-4e5d-b393-c6631081bf8c"/>
    <x v="13"/>
    <x v="138"/>
    <n v="81967"/>
    <x v="47"/>
    <x v="138"/>
    <x v="56"/>
    <x v="13"/>
  </r>
  <r>
    <s v="c33e5473-9a85-427e-84cb-2a8e547a265f"/>
    <x v="13"/>
    <x v="139"/>
    <n v="3922"/>
    <x v="47"/>
    <x v="139"/>
    <x v="56"/>
    <x v="13"/>
  </r>
  <r>
    <s v="1711a628-2972-42bf-af54-9d5d9267575c"/>
    <x v="13"/>
    <x v="140"/>
    <n v="3922"/>
    <x v="47"/>
    <x v="140"/>
    <x v="57"/>
    <x v="13"/>
  </r>
  <r>
    <s v="5afbfda2-294a-440c-8b96-3d2f66cb8ac8"/>
    <x v="12"/>
    <x v="141"/>
    <n v="3922"/>
    <x v="44"/>
    <x v="141"/>
    <x v="57"/>
    <x v="12"/>
  </r>
  <r>
    <s v="c2207db0-d404-421e-82ae-c0b30b7766e8"/>
    <x v="13"/>
    <x v="142"/>
    <n v="3922"/>
    <x v="44"/>
    <x v="142"/>
    <x v="58"/>
    <x v="13"/>
  </r>
  <r>
    <s v="04bbe4ac-5109-4a46-92b5-5b7bcb6fb127"/>
    <x v="12"/>
    <x v="143"/>
    <n v="3922"/>
    <x v="44"/>
    <x v="143"/>
    <x v="58"/>
    <x v="12"/>
  </r>
  <r>
    <s v="41b8cfe2-75fb-4a84-8a30-4969e0d2542f"/>
    <x v="0"/>
    <x v="144"/>
    <n v="3921"/>
    <x v="42"/>
    <x v="144"/>
    <x v="59"/>
    <x v="0"/>
  </r>
  <r>
    <s v="6ca426d3-9088-4edf-a722-42c6b1ea0bce"/>
    <x v="16"/>
    <x v="145"/>
    <n v="3919"/>
    <x v="42"/>
    <x v="145"/>
    <x v="60"/>
    <x v="16"/>
  </r>
  <r>
    <s v="5c06fd05-1848-4963-be1e-9fba2ee654cb"/>
    <x v="4"/>
    <x v="146"/>
    <n v="81993"/>
    <x v="1"/>
    <x v="146"/>
    <x v="61"/>
    <x v="4"/>
  </r>
  <r>
    <s v="1d0df58b-d072-418f-ad47-6f56956ee6fb"/>
    <x v="16"/>
    <x v="147"/>
    <n v="3921"/>
    <x v="42"/>
    <x v="147"/>
    <x v="27"/>
    <x v="16"/>
  </r>
  <r>
    <s v="04878c56-7ead-4628-968a-4cd24f33dacc"/>
    <x v="0"/>
    <x v="148"/>
    <n v="3921"/>
    <x v="42"/>
    <x v="148"/>
    <x v="62"/>
    <x v="0"/>
  </r>
  <r>
    <s v="ddee8c42-e35b-43b4-947d-2c7cb802f3e3"/>
    <x v="0"/>
    <x v="149"/>
    <n v="3921"/>
    <x v="40"/>
    <x v="149"/>
    <x v="63"/>
    <x v="0"/>
  </r>
  <r>
    <s v="f635fd7b-caef-46ae-9d24-9c06b2958138"/>
    <x v="4"/>
    <x v="150"/>
    <n v="82158"/>
    <x v="1"/>
    <x v="150"/>
    <x v="7"/>
    <x v="4"/>
  </r>
  <r>
    <s v="a95c575d-a91c-4360-a834-98306741042e"/>
    <x v="0"/>
    <x v="151"/>
    <n v="3925"/>
    <x v="42"/>
    <x v="151"/>
    <x v="10"/>
    <x v="0"/>
  </r>
  <r>
    <s v="d315c7c5-3fa7-4396-a5bf-f549fa3e4091"/>
    <x v="4"/>
    <x v="152"/>
    <n v="82161"/>
    <x v="1"/>
    <x v="152"/>
    <x v="17"/>
    <x v="4"/>
  </r>
  <r>
    <s v="9c8ee700-7ced-41b6-b5df-e76840c5c1bb"/>
    <x v="0"/>
    <x v="153"/>
    <n v="3927"/>
    <x v="42"/>
    <x v="153"/>
    <x v="17"/>
    <x v="0"/>
  </r>
  <r>
    <s v="d7d27195-643c-43ab-9648-6b935fbfb88b"/>
    <x v="0"/>
    <x v="154"/>
    <n v="4"/>
    <x v="40"/>
    <x v="154"/>
    <x v="11"/>
    <x v="0"/>
  </r>
  <r>
    <s v="f256b227-4969-4b96-9ff4-996451304c50"/>
    <x v="0"/>
    <x v="155"/>
    <n v="3927"/>
    <x v="40"/>
    <x v="155"/>
    <x v="11"/>
    <x v="0"/>
  </r>
  <r>
    <s v="a9d66e47-d3a1-4a57-be28-cce9b1545638"/>
    <x v="0"/>
    <x v="156"/>
    <n v="3927"/>
    <x v="42"/>
    <x v="156"/>
    <x v="5"/>
    <x v="0"/>
  </r>
  <r>
    <s v="671b4aaf-659f-4751-b186-2cc5922f2c39"/>
    <x v="4"/>
    <x v="157"/>
    <n v="82194"/>
    <x v="25"/>
    <x v="157"/>
    <x v="30"/>
    <x v="4"/>
  </r>
  <r>
    <s v="98ca8000-16e9-480a-ba31-138f0814171f"/>
    <x v="0"/>
    <x v="158"/>
    <n v="3931"/>
    <x v="40"/>
    <x v="158"/>
    <x v="32"/>
    <x v="0"/>
  </r>
  <r>
    <s v="05325642-29b2-4ffe-b9c1-e9315c8b1423"/>
    <x v="13"/>
    <x v="159"/>
    <n v="3931"/>
    <x v="47"/>
    <x v="159"/>
    <x v="64"/>
    <x v="13"/>
  </r>
  <r>
    <s v="8c96bc24-6c0b-4f64-b83a-517c91283069"/>
    <x v="13"/>
    <x v="160"/>
    <n v="3931"/>
    <x v="0"/>
    <x v="160"/>
    <x v="64"/>
    <x v="13"/>
  </r>
  <r>
    <s v="9a156857-64ad-4fad-a1f9-8f326f49dc22"/>
    <x v="13"/>
    <x v="161"/>
    <n v="3931"/>
    <x v="48"/>
    <x v="161"/>
    <x v="64"/>
    <x v="13"/>
  </r>
  <r>
    <s v="03258545-5436-4abb-ac99-42f52916129f"/>
    <x v="18"/>
    <x v="162"/>
    <n v="3931"/>
    <x v="49"/>
    <x v="162"/>
    <x v="65"/>
    <x v="18"/>
  </r>
  <r>
    <s v="1d8081ce-4f43-496a-a955-b65b55253f12"/>
    <x v="13"/>
    <x v="163"/>
    <n v="3931"/>
    <x v="50"/>
    <x v="163"/>
    <x v="66"/>
    <x v="13"/>
  </r>
  <r>
    <s v="4b4a8da6-d306-4378-8aa4-1e9e2f3f3cf9"/>
    <x v="13"/>
    <x v="164"/>
    <n v="3931"/>
    <x v="51"/>
    <x v="164"/>
    <x v="66"/>
    <x v="13"/>
  </r>
  <r>
    <s v="ebfb7ace-82b7-4df1-84cd-aa3d5ec3546a"/>
    <x v="0"/>
    <x v="165"/>
    <n v="3935"/>
    <x v="52"/>
    <x v="165"/>
    <x v="16"/>
    <x v="0"/>
  </r>
  <r>
    <s v="d302296e-cc30-4e4f-8e7c-40f81ec3dabc"/>
    <x v="0"/>
    <x v="166"/>
    <n v="3935"/>
    <x v="0"/>
    <x v="166"/>
    <x v="26"/>
    <x v="0"/>
  </r>
  <r>
    <s v="5ee3186f-5f1e-497a-9e2f-6e401da310f1"/>
    <x v="0"/>
    <x v="167"/>
    <n v="3935"/>
    <x v="0"/>
    <x v="167"/>
    <x v="4"/>
    <x v="0"/>
  </r>
  <r>
    <s v="f1d3aaf3-8cdc-41bc-a987-d904caeb046b"/>
    <x v="13"/>
    <x v="168"/>
    <n v="0"/>
    <x v="0"/>
    <x v="168"/>
    <x v="67"/>
    <x v="13"/>
  </r>
  <r>
    <s v="25df297e-8272-4430-99cc-ca1eeffec965"/>
    <x v="0"/>
    <x v="169"/>
    <n v="3"/>
    <x v="53"/>
    <x v="169"/>
    <x v="63"/>
    <x v="0"/>
  </r>
  <r>
    <s v="dc8485e3-b02b-435c-b708-932b31da6ffb"/>
    <x v="0"/>
    <x v="170"/>
    <n v="3937"/>
    <x v="53"/>
    <x v="170"/>
    <x v="63"/>
    <x v="0"/>
  </r>
  <r>
    <s v="34be7fe0-142b-4b38-b4ce-127f23994aa8"/>
    <x v="9"/>
    <x v="171"/>
    <n v="3940"/>
    <x v="20"/>
    <x v="171"/>
    <x v="35"/>
    <x v="9"/>
  </r>
  <r>
    <s v="befe03b9-74c4-4aa5-becb-361126a9f6b1"/>
    <x v="9"/>
    <x v="172"/>
    <n v="3942"/>
    <x v="11"/>
    <x v="172"/>
    <x v="15"/>
    <x v="9"/>
  </r>
  <r>
    <s v="6fdd3701-3756-4362-9649-597d29d2a597"/>
    <x v="0"/>
    <x v="173"/>
    <n v="3945"/>
    <x v="40"/>
    <x v="173"/>
    <x v="0"/>
    <x v="0"/>
  </r>
  <r>
    <s v="f16594d4-670a-46be-83a0-25d66fdce45e"/>
    <x v="4"/>
    <x v="174"/>
    <n v="3961"/>
    <x v="1"/>
    <x v="174"/>
    <x v="19"/>
    <x v="4"/>
  </r>
  <r>
    <s v="f43642cd-7871-4412-a8b9-145ea8144755"/>
    <x v="10"/>
    <x v="175"/>
    <n v="3961"/>
    <x v="54"/>
    <x v="175"/>
    <x v="19"/>
    <x v="10"/>
  </r>
  <r>
    <s v="4266ab87-bad5-47ac-b1d5-ad0f4650b3a3"/>
    <x v="4"/>
    <x v="176"/>
    <n v="3961"/>
    <x v="1"/>
    <x v="176"/>
    <x v="8"/>
    <x v="4"/>
  </r>
  <r>
    <s v="06fadec3-8d15-4eb1-9808-628f80517104"/>
    <x v="0"/>
    <x v="177"/>
    <n v="3961"/>
    <x v="55"/>
    <x v="177"/>
    <x v="17"/>
    <x v="0"/>
  </r>
  <r>
    <s v="38215e9f-2b5c-4e9b-9f48-db471cc4f64a"/>
    <x v="0"/>
    <x v="178"/>
    <n v="3961"/>
    <x v="56"/>
    <x v="178"/>
    <x v="68"/>
    <x v="0"/>
  </r>
  <r>
    <s v="1c64f985-fdb3-467e-8d77-2cf7d23806ab"/>
    <x v="0"/>
    <x v="179"/>
    <n v="3961"/>
    <x v="56"/>
    <x v="179"/>
    <x v="48"/>
    <x v="0"/>
  </r>
  <r>
    <s v="e8df5f96-5d79-4fa8-a161-35eb0c372b61"/>
    <x v="0"/>
    <x v="180"/>
    <n v="3961"/>
    <x v="56"/>
    <x v="180"/>
    <x v="49"/>
    <x v="0"/>
  </r>
  <r>
    <s v="dc440204-b353-4e4d-a764-39b20fb4fc48"/>
    <x v="19"/>
    <x v="181"/>
    <n v="82698"/>
    <x v="57"/>
    <x v="181"/>
    <x v="41"/>
    <x v="19"/>
  </r>
  <r>
    <s v="77516ea4-3523-489b-857b-94d3604e96f9"/>
    <x v="0"/>
    <x v="182"/>
    <n v="3961"/>
    <x v="56"/>
    <x v="182"/>
    <x v="50"/>
    <x v="0"/>
  </r>
  <r>
    <s v="e1388e95-b014-4e9d-9399-8018c5767da3"/>
    <x v="0"/>
    <x v="183"/>
    <n v="3961"/>
    <x v="56"/>
    <x v="183"/>
    <x v="69"/>
    <x v="0"/>
  </r>
  <r>
    <s v="3b949d18-ecdb-47d3-a740-08f930b58af7"/>
    <x v="0"/>
    <x v="184"/>
    <n v="3961"/>
    <x v="56"/>
    <x v="184"/>
    <x v="27"/>
    <x v="0"/>
  </r>
  <r>
    <s v="0873c040-99e9-4666-a7c7-e1ecd70ef86b"/>
    <x v="0"/>
    <x v="185"/>
    <n v="3961"/>
    <x v="56"/>
    <x v="185"/>
    <x v="19"/>
    <x v="0"/>
  </r>
  <r>
    <s v="42e15c9f-c83b-4d62-a693-b95a16c46df3"/>
    <x v="5"/>
    <x v="186"/>
    <n v="82724"/>
    <x v="12"/>
    <x v="186"/>
    <x v="0"/>
    <x v="5"/>
  </r>
  <r>
    <s v="c86de163-a101-466a-8d61-3c83525604d7"/>
    <x v="0"/>
    <x v="187"/>
    <n v="3963"/>
    <x v="0"/>
    <x v="187"/>
    <x v="16"/>
    <x v="0"/>
  </r>
  <r>
    <s v="e804e72a-3348-4c3b-918f-498bec82e254"/>
    <x v="0"/>
    <x v="188"/>
    <n v="82730"/>
    <x v="58"/>
    <x v="188"/>
    <x v="7"/>
    <x v="0"/>
  </r>
  <r>
    <s v="5f2ec2a5-d5a2-41ec-9b9f-9a3cfd39fb9d"/>
    <x v="0"/>
    <x v="189"/>
    <n v="3963"/>
    <x v="4"/>
    <x v="189"/>
    <x v="11"/>
    <x v="0"/>
  </r>
  <r>
    <s v="dffc5bf9-1cba-43f3-b91f-9bb782bb0b87"/>
    <x v="0"/>
    <x v="190"/>
    <n v="83047"/>
    <x v="9"/>
    <x v="190"/>
    <x v="30"/>
    <x v="0"/>
  </r>
  <r>
    <s v="6fe8d12a-c554-42a9-b903-5c394348ee21"/>
    <x v="0"/>
    <x v="191"/>
    <n v="3963"/>
    <x v="59"/>
    <x v="191"/>
    <x v="12"/>
    <x v="0"/>
  </r>
  <r>
    <s v="68dc1881-f886-49b3-af19-e36ffcb9e2e9"/>
    <x v="0"/>
    <x v="192"/>
    <n v="3963"/>
    <x v="4"/>
    <x v="192"/>
    <x v="32"/>
    <x v="0"/>
  </r>
  <r>
    <s v="5ee66091-4be7-40c3-accb-ef2cd046f841"/>
    <x v="0"/>
    <x v="193"/>
    <n v="3963"/>
    <x v="9"/>
    <x v="193"/>
    <x v="3"/>
    <x v="0"/>
  </r>
  <r>
    <s v="6a038d9b-d094-4250-95d2-4902c79f7075"/>
    <x v="0"/>
    <x v="194"/>
    <n v="3963"/>
    <x v="60"/>
    <x v="194"/>
    <x v="1"/>
    <x v="0"/>
  </r>
  <r>
    <s v="613e7f8e-53e7-4c3c-9aa3-7920fa295da2"/>
    <x v="5"/>
    <x v="195"/>
    <n v="3963"/>
    <x v="12"/>
    <x v="195"/>
    <x v="70"/>
    <x v="5"/>
  </r>
  <r>
    <s v="df383513-2a17-4e10-8f30-5860ba1a1006"/>
    <x v="13"/>
    <x v="196"/>
    <n v="0"/>
    <x v="0"/>
    <x v="196"/>
    <x v="71"/>
    <x v="13"/>
  </r>
  <r>
    <s v="3ccf1fc3-9c7f-44b8-8718-79f1612d5767"/>
    <x v="13"/>
    <x v="197"/>
    <n v="3965"/>
    <x v="61"/>
    <x v="197"/>
    <x v="72"/>
    <x v="13"/>
  </r>
  <r>
    <s v="78aafa80-ec4b-4413-90d4-4348b2dc5f18"/>
    <x v="14"/>
    <x v="198"/>
    <n v="3969"/>
    <x v="12"/>
    <x v="198"/>
    <x v="45"/>
    <x v="14"/>
  </r>
  <r>
    <s v="27c190c5-443a-467b-8ab5-3cfcc7b9aa6e"/>
    <x v="14"/>
    <x v="199"/>
    <n v="3969"/>
    <x v="62"/>
    <x v="199"/>
    <x v="73"/>
    <x v="14"/>
  </r>
  <r>
    <s v="79f16eaf-e0ce-4a87-84e4-8a9dc45e0595"/>
    <x v="14"/>
    <x v="200"/>
    <n v="3969"/>
    <x v="12"/>
    <x v="200"/>
    <x v="68"/>
    <x v="14"/>
  </r>
  <r>
    <s v="964a25f5-306f-43b1-913e-916f7807367c"/>
    <x v="14"/>
    <x v="201"/>
    <n v="3969"/>
    <x v="12"/>
    <x v="201"/>
    <x v="47"/>
    <x v="14"/>
  </r>
  <r>
    <s v="29fc9ff6-d4bb-4885-b499-256771ba3460"/>
    <x v="20"/>
    <x v="202"/>
    <n v="3969"/>
    <x v="20"/>
    <x v="202"/>
    <x v="74"/>
    <x v="20"/>
  </r>
  <r>
    <s v="0f1767be-ce21-4bf1-a439-bf811306a954"/>
    <x v="0"/>
    <x v="203"/>
    <n v="3"/>
    <x v="58"/>
    <x v="203"/>
    <x v="0"/>
    <x v="0"/>
  </r>
  <r>
    <s v="933004ab-c128-435f-a3c4-b31587914e84"/>
    <x v="0"/>
    <x v="204"/>
    <n v="3969"/>
    <x v="0"/>
    <x v="204"/>
    <x v="0"/>
    <x v="0"/>
  </r>
  <r>
    <s v="de6c7ff9-4f51-4bfe-a291-cc7287d08154"/>
    <x v="0"/>
    <x v="205"/>
    <n v="3"/>
    <x v="58"/>
    <x v="205"/>
    <x v="33"/>
    <x v="0"/>
  </r>
  <r>
    <s v="7166ff3f-a3c7-4168-b4f6-737b8ea343f2"/>
    <x v="14"/>
    <x v="206"/>
    <n v="3969"/>
    <x v="12"/>
    <x v="206"/>
    <x v="50"/>
    <x v="14"/>
  </r>
  <r>
    <s v="5ea45bd4-a837-4a57-97ba-79d0fa273335"/>
    <x v="6"/>
    <x v="207"/>
    <n v="3969"/>
    <x v="63"/>
    <x v="207"/>
    <x v="75"/>
    <x v="6"/>
  </r>
  <r>
    <s v="df97348f-7d03-4a62-8cbe-ea7ee6d9d1f7"/>
    <x v="6"/>
    <x v="208"/>
    <n v="3969"/>
    <x v="63"/>
    <x v="208"/>
    <x v="75"/>
    <x v="6"/>
  </r>
  <r>
    <s v="81a3b21e-a4d8-4e31-9a64-0f05bc2ab91c"/>
    <x v="4"/>
    <x v="209"/>
    <n v="3971"/>
    <x v="1"/>
    <x v="209"/>
    <x v="19"/>
    <x v="4"/>
  </r>
  <r>
    <s v="4f78f2d5-dc20-4dbc-a09f-e9ab3857e9b0"/>
    <x v="4"/>
    <x v="210"/>
    <n v="3971"/>
    <x v="1"/>
    <x v="210"/>
    <x v="2"/>
    <x v="4"/>
  </r>
  <r>
    <s v="9a206a29-2c64-498e-bf87-cb74685b30a4"/>
    <x v="4"/>
    <x v="211"/>
    <n v="3971"/>
    <x v="1"/>
    <x v="211"/>
    <x v="14"/>
    <x v="4"/>
  </r>
  <r>
    <s v="dbb22b22-a2b2-4cf4-b408-bbf48c834256"/>
    <x v="0"/>
    <x v="212"/>
    <n v="83267"/>
    <x v="7"/>
    <x v="212"/>
    <x v="14"/>
    <x v="0"/>
  </r>
  <r>
    <s v="4c75db10-b3e8-4625-b99a-988b2ac1750f"/>
    <x v="0"/>
    <x v="213"/>
    <n v="83791"/>
    <x v="64"/>
    <x v="213"/>
    <x v="15"/>
    <x v="0"/>
  </r>
  <r>
    <s v="87193054-9a8a-4a54-b726-7986bd087953"/>
    <x v="0"/>
    <x v="214"/>
    <n v="83927"/>
    <x v="65"/>
    <x v="214"/>
    <x v="19"/>
    <x v="0"/>
  </r>
  <r>
    <s v="1c7f558a-1f16-4276-a18f-7a893d866003"/>
    <x v="4"/>
    <x v="215"/>
    <n v="3978"/>
    <x v="1"/>
    <x v="215"/>
    <x v="24"/>
    <x v="4"/>
  </r>
  <r>
    <s v="70b6cff6-f448-4c5a-b1f4-4c422285fd85"/>
    <x v="4"/>
    <x v="216"/>
    <n v="3978"/>
    <x v="1"/>
    <x v="216"/>
    <x v="4"/>
    <x v="4"/>
  </r>
  <r>
    <s v="4da02cfe-aaca-45b3-921f-5e335a3cf120"/>
    <x v="10"/>
    <x v="217"/>
    <n v="3980"/>
    <x v="66"/>
    <x v="217"/>
    <x v="19"/>
    <x v="10"/>
  </r>
  <r>
    <s v="00a9cc9e-f40b-4294-a35b-e0cc212c75ec"/>
    <x v="10"/>
    <x v="218"/>
    <n v="3980"/>
    <x v="67"/>
    <x v="218"/>
    <x v="19"/>
    <x v="10"/>
  </r>
  <r>
    <s v="3a3e34af-ed0b-4545-9af7-3124171befdd"/>
    <x v="10"/>
    <x v="219"/>
    <n v="3980"/>
    <x v="0"/>
    <x v="219"/>
    <x v="19"/>
    <x v="10"/>
  </r>
  <r>
    <s v="f839fc72-e203-4191-a99f-269244ad9383"/>
    <x v="21"/>
    <x v="220"/>
    <n v="3982"/>
    <x v="68"/>
    <x v="220"/>
    <x v="9"/>
    <x v="21"/>
  </r>
  <r>
    <s v="666f9c8b-2cad-4d0a-9310-8817835e7516"/>
    <x v="21"/>
    <x v="221"/>
    <n v="4080"/>
    <x v="20"/>
    <x v="221"/>
    <x v="9"/>
    <x v="21"/>
  </r>
  <r>
    <s v="335e106a-a46e-4083-864e-c43d8da75fca"/>
    <x v="13"/>
    <x v="222"/>
    <n v="3984"/>
    <x v="69"/>
    <x v="222"/>
    <x v="42"/>
    <x v="13"/>
  </r>
  <r>
    <s v="457ca0da-eb1c-44fe-91e3-ba4dbe778681"/>
    <x v="13"/>
    <x v="223"/>
    <n v="3984"/>
    <x v="70"/>
    <x v="223"/>
    <x v="76"/>
    <x v="13"/>
  </r>
  <r>
    <s v="04abda84-a876-4db4-8f0a-500800030522"/>
    <x v="13"/>
    <x v="224"/>
    <n v="3984"/>
    <x v="70"/>
    <x v="224"/>
    <x v="76"/>
    <x v="13"/>
  </r>
  <r>
    <s v="a4f05405-3f55-4fd7-a1c0-dbe115e8e24f"/>
    <x v="21"/>
    <x v="225"/>
    <n v="84086"/>
    <x v="20"/>
    <x v="225"/>
    <x v="25"/>
    <x v="21"/>
  </r>
  <r>
    <s v="fbf30d4d-da6b-4ab0-846e-997d9fc723d4"/>
    <x v="19"/>
    <x v="226"/>
    <n v="84110"/>
    <x v="4"/>
    <x v="226"/>
    <x v="50"/>
    <x v="19"/>
  </r>
  <r>
    <s v="05c18a2a-d6e3-4755-a9f2-9a05d3a05255"/>
    <x v="14"/>
    <x v="227"/>
    <n v="3988"/>
    <x v="4"/>
    <x v="227"/>
    <x v="36"/>
    <x v="14"/>
  </r>
  <r>
    <s v="f0faebdc-8cca-4c4c-bac2-9b8449018eb1"/>
    <x v="13"/>
    <x v="228"/>
    <n v="3988"/>
    <x v="70"/>
    <x v="228"/>
    <x v="60"/>
    <x v="13"/>
  </r>
  <r>
    <s v="b5d0450b-b45c-4b77-b5ac-d93aa49fcd9b"/>
    <x v="14"/>
    <x v="229"/>
    <n v="3992"/>
    <x v="4"/>
    <x v="229"/>
    <x v="2"/>
    <x v="14"/>
  </r>
  <r>
    <s v="f6b92db8-d498-4995-8101-d7c8e8c3b330"/>
    <x v="14"/>
    <x v="230"/>
    <n v="3992"/>
    <x v="4"/>
    <x v="230"/>
    <x v="77"/>
    <x v="14"/>
  </r>
  <r>
    <s v="e3b6ff99-78e5-4a18-8104-83f88de30f34"/>
    <x v="14"/>
    <x v="231"/>
    <n v="3992"/>
    <x v="4"/>
    <x v="231"/>
    <x v="45"/>
    <x v="14"/>
  </r>
  <r>
    <s v="cab9946e-9342-487d-8ad7-517f1e879b51"/>
    <x v="14"/>
    <x v="232"/>
    <n v="3992"/>
    <x v="4"/>
    <x v="232"/>
    <x v="78"/>
    <x v="14"/>
  </r>
  <r>
    <s v="0d8c9ab3-8d26-4144-a540-fe735c66a19b"/>
    <x v="14"/>
    <x v="233"/>
    <n v="3992"/>
    <x v="4"/>
    <x v="233"/>
    <x v="79"/>
    <x v="14"/>
  </r>
  <r>
    <s v="6ed77928-7552-470b-8ad5-8e8c653d9e01"/>
    <x v="14"/>
    <x v="234"/>
    <n v="3992"/>
    <x v="4"/>
    <x v="234"/>
    <x v="67"/>
    <x v="14"/>
  </r>
  <r>
    <s v="7364493d-aeb6-4da7-a85e-c9d8f263a962"/>
    <x v="14"/>
    <x v="235"/>
    <n v="3992"/>
    <x v="12"/>
    <x v="235"/>
    <x v="80"/>
    <x v="14"/>
  </r>
  <r>
    <s v="02e37211-c0ad-4ea0-8866-f066fcab8d88"/>
    <x v="20"/>
    <x v="236"/>
    <n v="3992"/>
    <x v="18"/>
    <x v="236"/>
    <x v="57"/>
    <x v="20"/>
  </r>
  <r>
    <s v="6f6c63d0-c0d4-406c-b12e-01bd8d866452"/>
    <x v="0"/>
    <x v="237"/>
    <n v="3992"/>
    <x v="4"/>
    <x v="237"/>
    <x v="19"/>
    <x v="0"/>
  </r>
  <r>
    <s v="211dff1d-2c9e-4dc4-a90b-90ff0cb25048"/>
    <x v="4"/>
    <x v="238"/>
    <n v="84195"/>
    <x v="1"/>
    <x v="238"/>
    <x v="8"/>
    <x v="4"/>
  </r>
  <r>
    <s v="7e5c454d-d45f-421f-aae8-f8f40b5078d3"/>
    <x v="0"/>
    <x v="239"/>
    <n v="3992"/>
    <x v="4"/>
    <x v="239"/>
    <x v="8"/>
    <x v="0"/>
  </r>
  <r>
    <s v="2cd2efc8-864a-4907-a8c0-e61d5c7a5400"/>
    <x v="10"/>
    <x v="240"/>
    <n v="3994"/>
    <x v="71"/>
    <x v="240"/>
    <x v="31"/>
    <x v="10"/>
  </r>
  <r>
    <s v="96a871fc-6f75-46f5-b86c-80d888566dcc"/>
    <x v="0"/>
    <x v="241"/>
    <n v="3996"/>
    <x v="43"/>
    <x v="241"/>
    <x v="15"/>
    <x v="0"/>
  </r>
  <r>
    <s v="7b62779e-68bb-4337-9ab2-25d945f67e49"/>
    <x v="22"/>
    <x v="242"/>
    <n v="4000"/>
    <x v="72"/>
    <x v="242"/>
    <x v="5"/>
    <x v="22"/>
  </r>
  <r>
    <s v="d2566d5e-8ebd-4ce0-9132-ed1498aa6f8c"/>
    <x v="4"/>
    <x v="243"/>
    <n v="4004"/>
    <x v="5"/>
    <x v="243"/>
    <x v="81"/>
    <x v="4"/>
  </r>
  <r>
    <s v="2d289069-b7da-4d28-bc40-9ad5eb3f1611"/>
    <x v="20"/>
    <x v="244"/>
    <n v="4004"/>
    <x v="18"/>
    <x v="244"/>
    <x v="39"/>
    <x v="20"/>
  </r>
  <r>
    <s v="1caaf087-9ec0-4f7c-9f8e-943ccc4a7c99"/>
    <x v="21"/>
    <x v="245"/>
    <n v="84385"/>
    <x v="39"/>
    <x v="245"/>
    <x v="27"/>
    <x v="21"/>
  </r>
  <r>
    <s v="05449398-5d6c-41d6-8fa0-15ee7754bede"/>
    <x v="22"/>
    <x v="246"/>
    <n v="4004"/>
    <x v="25"/>
    <x v="246"/>
    <x v="19"/>
    <x v="22"/>
  </r>
  <r>
    <s v="8e2a748a-253a-4507-8fd8-b71d0692c883"/>
    <x v="10"/>
    <x v="247"/>
    <n v="4007"/>
    <x v="0"/>
    <x v="247"/>
    <x v="60"/>
    <x v="10"/>
  </r>
  <r>
    <s v="19a55946-31bb-4bdd-b7c6-3889f2eb1657"/>
    <x v="23"/>
    <x v="248"/>
    <n v="4007"/>
    <x v="27"/>
    <x v="248"/>
    <x v="62"/>
    <x v="23"/>
  </r>
  <r>
    <s v="14b255c7-931e-40f3-afe0-5de1ff403b79"/>
    <x v="5"/>
    <x v="249"/>
    <n v="4007"/>
    <x v="73"/>
    <x v="249"/>
    <x v="24"/>
    <x v="5"/>
  </r>
  <r>
    <s v="55e347a4-b253-4434-a421-e4af578b6f3f"/>
    <x v="5"/>
    <x v="250"/>
    <n v="4007"/>
    <x v="12"/>
    <x v="250"/>
    <x v="24"/>
    <x v="5"/>
  </r>
  <r>
    <s v="8477a568-6e5b-4483-84ae-91b33c680152"/>
    <x v="5"/>
    <x v="251"/>
    <n v="4007"/>
    <x v="12"/>
    <x v="251"/>
    <x v="29"/>
    <x v="5"/>
  </r>
  <r>
    <s v="a3436267-830f-4a20-8633-fb643229ef27"/>
    <x v="4"/>
    <x v="252"/>
    <n v="0"/>
    <x v="74"/>
    <x v="252"/>
    <x v="13"/>
    <x v="4"/>
  </r>
  <r>
    <s v="bf36a4ad-770d-4384-a346-02dbacd6e34d"/>
    <x v="0"/>
    <x v="253"/>
    <n v="4012"/>
    <x v="0"/>
    <x v="253"/>
    <x v="82"/>
    <x v="0"/>
  </r>
  <r>
    <s v="e3ec4065-b03e-49ee-a93a-b90cbc839574"/>
    <x v="24"/>
    <x v="254"/>
    <n v="4014"/>
    <x v="12"/>
    <x v="254"/>
    <x v="10"/>
    <x v="24"/>
  </r>
  <r>
    <s v="00e3b0a9-6448-4261-8995-3e926f313655"/>
    <x v="9"/>
    <x v="255"/>
    <n v="4014"/>
    <x v="27"/>
    <x v="255"/>
    <x v="20"/>
    <x v="9"/>
  </r>
  <r>
    <s v="071b5b38-aca3-47c3-a595-c826d2afbd49"/>
    <x v="24"/>
    <x v="256"/>
    <n v="85555"/>
    <x v="20"/>
    <x v="256"/>
    <x v="31"/>
    <x v="24"/>
  </r>
  <r>
    <s v="75c79f69-a30a-4fe3-aeb3-03acec8b7451"/>
    <x v="24"/>
    <x v="257"/>
    <n v="85556"/>
    <x v="75"/>
    <x v="257"/>
    <x v="31"/>
    <x v="24"/>
  </r>
  <r>
    <s v="d1a77e41-9b5c-4b9a-921f-d2b99124529e"/>
    <x v="24"/>
    <x v="258"/>
    <n v="85585"/>
    <x v="75"/>
    <x v="258"/>
    <x v="14"/>
    <x v="24"/>
  </r>
  <r>
    <s v="8d467a87-2064-4876-a56e-c072d8aa45ce"/>
    <x v="0"/>
    <x v="259"/>
    <n v="85586"/>
    <x v="58"/>
    <x v="259"/>
    <x v="6"/>
    <x v="0"/>
  </r>
  <r>
    <s v="13ed50a6-699f-47a0-85d3-800fccd60a34"/>
    <x v="21"/>
    <x v="260"/>
    <n v="4120"/>
    <x v="76"/>
    <x v="260"/>
    <x v="45"/>
    <x v="21"/>
  </r>
  <r>
    <s v="d025b31e-b07b-4d71-beef-1de81f0e400a"/>
    <x v="17"/>
    <x v="261"/>
    <n v="0"/>
    <x v="14"/>
    <x v="261"/>
    <x v="63"/>
    <x v="17"/>
  </r>
  <r>
    <s v="65216263-8d2c-4bbf-9e5e-926f59a49841"/>
    <x v="17"/>
    <x v="262"/>
    <n v="4022"/>
    <x v="14"/>
    <x v="262"/>
    <x v="35"/>
    <x v="17"/>
  </r>
  <r>
    <s v="0f5bceaf-690e-41ab-b62c-6bfe49a3594f"/>
    <x v="17"/>
    <x v="263"/>
    <n v="4024"/>
    <x v="14"/>
    <x v="263"/>
    <x v="8"/>
    <x v="17"/>
  </r>
  <r>
    <s v="ee9aff7f-ad44-493f-88de-e85bc5d20b4f"/>
    <x v="0"/>
    <x v="264"/>
    <n v="4026"/>
    <x v="0"/>
    <x v="264"/>
    <x v="10"/>
    <x v="0"/>
  </r>
  <r>
    <s v="27647658-5bd7-4a6b-b45b-a16c0f5cf47e"/>
    <x v="0"/>
    <x v="265"/>
    <n v="4026"/>
    <x v="9"/>
    <x v="265"/>
    <x v="17"/>
    <x v="0"/>
  </r>
  <r>
    <s v="784d1134-394a-4625-b431-79cf009fc8d5"/>
    <x v="0"/>
    <x v="266"/>
    <n v="4026"/>
    <x v="14"/>
    <x v="266"/>
    <x v="37"/>
    <x v="0"/>
  </r>
  <r>
    <s v="196f9dde-9173-452d-8ed2-583e1f1e750e"/>
    <x v="22"/>
    <x v="267"/>
    <n v="4026"/>
    <x v="14"/>
    <x v="267"/>
    <x v="12"/>
    <x v="22"/>
  </r>
  <r>
    <s v="30386e1c-02f3-48e4-b84a-07fa9ffe057c"/>
    <x v="17"/>
    <x v="268"/>
    <n v="4026"/>
    <x v="14"/>
    <x v="268"/>
    <x v="12"/>
    <x v="17"/>
  </r>
  <r>
    <s v="60a151f8-b215-4717-ae32-9770c17018ba"/>
    <x v="22"/>
    <x v="269"/>
    <n v="4028"/>
    <x v="14"/>
    <x v="269"/>
    <x v="13"/>
    <x v="22"/>
  </r>
  <r>
    <s v="279044b7-a6e4-40d2-859b-685902c3787e"/>
    <x v="0"/>
    <x v="270"/>
    <n v="4028"/>
    <x v="14"/>
    <x v="270"/>
    <x v="9"/>
    <x v="0"/>
  </r>
  <r>
    <s v="a265b6ca-b4e4-424e-ac52-81d1dc6b978e"/>
    <x v="0"/>
    <x v="271"/>
    <n v="85823"/>
    <x v="14"/>
    <x v="271"/>
    <x v="14"/>
    <x v="0"/>
  </r>
  <r>
    <s v="d1afd7f5-88c9-4649-a39d-51f351ac3ec6"/>
    <x v="21"/>
    <x v="272"/>
    <n v="136"/>
    <x v="4"/>
    <x v="272"/>
    <x v="44"/>
    <x v="21"/>
  </r>
  <r>
    <s v="cbb636d6-36d5-4fa0-943e-a7076321313e"/>
    <x v="17"/>
    <x v="273"/>
    <n v="4028"/>
    <x v="14"/>
    <x v="273"/>
    <x v="46"/>
    <x v="17"/>
  </r>
  <r>
    <s v="989a0968-a407-4100-be3f-1f74491f008f"/>
    <x v="24"/>
    <x v="274"/>
    <n v="85832"/>
    <x v="75"/>
    <x v="274"/>
    <x v="76"/>
    <x v="24"/>
  </r>
  <r>
    <s v="4ebc7753-4289-45a5-80e0-94be0a1fff7b"/>
    <x v="24"/>
    <x v="275"/>
    <n v="4028"/>
    <x v="41"/>
    <x v="275"/>
    <x v="76"/>
    <x v="24"/>
  </r>
  <r>
    <s v="cd21769a-921d-4495-8ede-746c395ad910"/>
    <x v="24"/>
    <x v="276"/>
    <n v="85832"/>
    <x v="41"/>
    <x v="276"/>
    <x v="76"/>
    <x v="24"/>
  </r>
  <r>
    <s v="2143d48a-cd6b-46c1-bb5b-29892d05210d"/>
    <x v="24"/>
    <x v="277"/>
    <n v="4028"/>
    <x v="77"/>
    <x v="277"/>
    <x v="76"/>
    <x v="24"/>
  </r>
  <r>
    <s v="3ae76de3-8bc1-4e10-be2a-dc7ba0825aa8"/>
    <x v="25"/>
    <x v="278"/>
    <n v="4028"/>
    <x v="77"/>
    <x v="278"/>
    <x v="75"/>
    <x v="25"/>
  </r>
  <r>
    <s v="8e2d3350-0570-42a0-83bd-e9fcf9d7594a"/>
    <x v="24"/>
    <x v="279"/>
    <n v="4028"/>
    <x v="77"/>
    <x v="279"/>
    <x v="64"/>
    <x v="24"/>
  </r>
  <r>
    <s v="648e8d89-150b-41cc-a7dc-7f0544eea5c4"/>
    <x v="24"/>
    <x v="280"/>
    <n v="85832"/>
    <x v="12"/>
    <x v="280"/>
    <x v="64"/>
    <x v="24"/>
  </r>
  <r>
    <s v="5a00619d-4083-404d-bbbb-04cc818f1a3b"/>
    <x v="24"/>
    <x v="281"/>
    <n v="0"/>
    <x v="12"/>
    <x v="281"/>
    <x v="65"/>
    <x v="24"/>
  </r>
  <r>
    <s v="77006d98-bf30-4366-9bd0-1d95cb62e4a8"/>
    <x v="24"/>
    <x v="282"/>
    <n v="85832"/>
    <x v="75"/>
    <x v="282"/>
    <x v="65"/>
    <x v="24"/>
  </r>
  <r>
    <s v="5717d89e-cdf9-4402-be04-68ac49f9ef2f"/>
    <x v="20"/>
    <x v="283"/>
    <n v="4027"/>
    <x v="20"/>
    <x v="283"/>
    <x v="80"/>
    <x v="20"/>
  </r>
  <r>
    <s v="09ac8142-875f-41a2-a083-027c1cc39c43"/>
    <x v="0"/>
    <x v="284"/>
    <n v="4027"/>
    <x v="4"/>
    <x v="284"/>
    <x v="52"/>
    <x v="0"/>
  </r>
  <r>
    <s v="f34514c0-a4ff-43b5-bb32-7ad769289568"/>
    <x v="26"/>
    <x v="285"/>
    <n v="4027"/>
    <x v="78"/>
    <x v="285"/>
    <x v="16"/>
    <x v="26"/>
  </r>
  <r>
    <s v="7a9f4619-b819-46fa-ae00-757b06a32183"/>
    <x v="26"/>
    <x v="286"/>
    <n v="4027"/>
    <x v="79"/>
    <x v="286"/>
    <x v="7"/>
    <x v="26"/>
  </r>
  <r>
    <s v="c3458120-264a-463e-8439-4fe14e9cabbd"/>
    <x v="19"/>
    <x v="287"/>
    <n v="85962"/>
    <x v="20"/>
    <x v="287"/>
    <x v="50"/>
    <x v="19"/>
  </r>
  <r>
    <s v="efb4c0ee-ba57-4b0f-9862-d9c1f77d54f8"/>
    <x v="19"/>
    <x v="288"/>
    <n v="85962"/>
    <x v="80"/>
    <x v="288"/>
    <x v="43"/>
    <x v="19"/>
  </r>
  <r>
    <s v="0d795ec5-e035-4dd2-8024-83743d98888c"/>
    <x v="19"/>
    <x v="289"/>
    <n v="4027"/>
    <x v="80"/>
    <x v="289"/>
    <x v="76"/>
    <x v="19"/>
  </r>
  <r>
    <s v="95d1306f-f8f3-4d39-9f42-08353b4eab3c"/>
    <x v="19"/>
    <x v="290"/>
    <n v="85962"/>
    <x v="20"/>
    <x v="290"/>
    <x v="74"/>
    <x v="19"/>
  </r>
  <r>
    <s v="79b07429-2750-4076-89f3-7187237adf69"/>
    <x v="19"/>
    <x v="291"/>
    <n v="85962"/>
    <x v="0"/>
    <x v="291"/>
    <x v="83"/>
    <x v="19"/>
  </r>
  <r>
    <s v="bd9414af-160a-4fd2-8c5b-64c730a737b8"/>
    <x v="14"/>
    <x v="292"/>
    <n v="4027"/>
    <x v="12"/>
    <x v="292"/>
    <x v="61"/>
    <x v="14"/>
  </r>
  <r>
    <s v="290cbb7d-858f-4f2a-a4a0-745c4e2575a2"/>
    <x v="14"/>
    <x v="293"/>
    <n v="4027"/>
    <x v="12"/>
    <x v="293"/>
    <x v="82"/>
    <x v="14"/>
  </r>
  <r>
    <s v="ba8f8729-bb79-416b-9963-9fa9b23f411c"/>
    <x v="26"/>
    <x v="294"/>
    <n v="4027"/>
    <x v="81"/>
    <x v="294"/>
    <x v="37"/>
    <x v="26"/>
  </r>
  <r>
    <s v="323e0aeb-ae44-4dd3-9360-cf1686c848d2"/>
    <x v="26"/>
    <x v="295"/>
    <n v="4027"/>
    <x v="82"/>
    <x v="295"/>
    <x v="37"/>
    <x v="26"/>
  </r>
  <r>
    <s v="1fc02cd1-33a6-4d14-a113-cfe02cba8293"/>
    <x v="19"/>
    <x v="296"/>
    <n v="85965"/>
    <x v="20"/>
    <x v="296"/>
    <x v="84"/>
    <x v="19"/>
  </r>
  <r>
    <s v="1b4b0575-d98a-4909-b389-a6188c57ef74"/>
    <x v="19"/>
    <x v="297"/>
    <n v="85965"/>
    <x v="20"/>
    <x v="297"/>
    <x v="56"/>
    <x v="19"/>
  </r>
  <r>
    <s v="0728bc68-90bd-412d-a351-4e44bd43fe69"/>
    <x v="14"/>
    <x v="298"/>
    <n v="4027"/>
    <x v="12"/>
    <x v="298"/>
    <x v="15"/>
    <x v="14"/>
  </r>
  <r>
    <s v="f8190ed6-235f-479b-87ef-78e2a655b8fa"/>
    <x v="21"/>
    <x v="299"/>
    <n v="4125"/>
    <x v="4"/>
    <x v="299"/>
    <x v="19"/>
    <x v="21"/>
  </r>
  <r>
    <s v="73273ca1-245a-42a3-993e-f8d15aaeae64"/>
    <x v="27"/>
    <x v="300"/>
    <n v="4027"/>
    <x v="20"/>
    <x v="300"/>
    <x v="8"/>
    <x v="27"/>
  </r>
  <r>
    <s v="56a5e9d3-ffce-41e6-8a6f-8cdc7cc058fe"/>
    <x v="21"/>
    <x v="301"/>
    <n v="135"/>
    <x v="4"/>
    <x v="301"/>
    <x v="8"/>
    <x v="21"/>
  </r>
  <r>
    <s v="59c489b4-d7c0-4b07-80e4-c24109ac1336"/>
    <x v="21"/>
    <x v="302"/>
    <n v="4027"/>
    <x v="4"/>
    <x v="302"/>
    <x v="26"/>
    <x v="21"/>
  </r>
  <r>
    <s v="a79d7f34-6364-4f6d-ae9d-ca80c0d445c4"/>
    <x v="14"/>
    <x v="303"/>
    <n v="4027"/>
    <x v="83"/>
    <x v="303"/>
    <x v="28"/>
    <x v="14"/>
  </r>
  <r>
    <s v="9986401c-0767-4065-b9f9-f8763faa41d2"/>
    <x v="21"/>
    <x v="304"/>
    <n v="26"/>
    <x v="4"/>
    <x v="304"/>
    <x v="21"/>
    <x v="21"/>
  </r>
  <r>
    <s v="f9cbb0af-56b1-4ff8-9a9e-f8d055aafbed"/>
    <x v="21"/>
    <x v="305"/>
    <n v="26"/>
    <x v="4"/>
    <x v="305"/>
    <x v="14"/>
    <x v="21"/>
  </r>
  <r>
    <s v="5827e7e4-9509-4181-b180-b4ebdc54cbf1"/>
    <x v="27"/>
    <x v="306"/>
    <n v="86032"/>
    <x v="20"/>
    <x v="306"/>
    <x v="81"/>
    <x v="27"/>
  </r>
  <r>
    <s v="2793d112-9c3e-4a37-a236-81f2ef5347b5"/>
    <x v="21"/>
    <x v="307"/>
    <n v="4029"/>
    <x v="4"/>
    <x v="307"/>
    <x v="12"/>
    <x v="21"/>
  </r>
  <r>
    <s v="670cf3eb-2c6f-44c3-86dd-11fecb8540e6"/>
    <x v="21"/>
    <x v="308"/>
    <n v="4029"/>
    <x v="4"/>
    <x v="308"/>
    <x v="4"/>
    <x v="21"/>
  </r>
  <r>
    <s v="4e701f20-ecbd-416c-aa33-989f5c301248"/>
    <x v="27"/>
    <x v="309"/>
    <n v="4127"/>
    <x v="0"/>
    <x v="309"/>
    <x v="33"/>
    <x v="27"/>
  </r>
  <r>
    <s v="dc46c14f-0efd-4ceb-afed-26270bfd8178"/>
    <x v="21"/>
    <x v="310"/>
    <n v="4029"/>
    <x v="4"/>
    <x v="310"/>
    <x v="2"/>
    <x v="21"/>
  </r>
  <r>
    <s v="d37d67f4-b656-4d29-8d8e-20f0a00ca966"/>
    <x v="21"/>
    <x v="311"/>
    <n v="4029"/>
    <x v="4"/>
    <x v="311"/>
    <x v="1"/>
    <x v="21"/>
  </r>
  <r>
    <s v="75326fc0-72f6-434e-bfa9-78de7ee2cefe"/>
    <x v="28"/>
    <x v="312"/>
    <n v="4029"/>
    <x v="0"/>
    <x v="312"/>
    <x v="1"/>
    <x v="28"/>
  </r>
  <r>
    <s v="0f44a3dc-1bff-406a-bbee-6eb99d232961"/>
    <x v="27"/>
    <x v="313"/>
    <n v="4127"/>
    <x v="0"/>
    <x v="313"/>
    <x v="1"/>
    <x v="27"/>
  </r>
  <r>
    <s v="38c58f98-a4f0-4a22-bcf2-bd966fae82cc"/>
    <x v="21"/>
    <x v="314"/>
    <n v="4029"/>
    <x v="4"/>
    <x v="314"/>
    <x v="44"/>
    <x v="21"/>
  </r>
  <r>
    <s v="740287bd-688e-4331-8557-63ca35dd790b"/>
    <x v="29"/>
    <x v="315"/>
    <n v="0"/>
    <x v="4"/>
    <x v="315"/>
    <x v="82"/>
    <x v="29"/>
  </r>
  <r>
    <s v="683e649f-1091-4c83-a354-111ac415d823"/>
    <x v="0"/>
    <x v="316"/>
    <n v="187"/>
    <x v="77"/>
    <x v="316"/>
    <x v="82"/>
    <x v="0"/>
  </r>
  <r>
    <s v="68538b4d-bbce-43cc-9e61-654aca02faab"/>
    <x v="14"/>
    <x v="317"/>
    <n v="4029"/>
    <x v="84"/>
    <x v="317"/>
    <x v="16"/>
    <x v="14"/>
  </r>
  <r>
    <s v="9c6dc741-1226-4e48-84ac-c52a96656dae"/>
    <x v="29"/>
    <x v="318"/>
    <n v="4029"/>
    <x v="4"/>
    <x v="318"/>
    <x v="7"/>
    <x v="29"/>
  </r>
  <r>
    <s v="c03b37bb-7617-4091-8252-6be0037e503e"/>
    <x v="0"/>
    <x v="319"/>
    <n v="155"/>
    <x v="77"/>
    <x v="319"/>
    <x v="10"/>
    <x v="0"/>
  </r>
  <r>
    <s v="7f24d739-8c0b-438b-9176-c3258a2637b5"/>
    <x v="0"/>
    <x v="320"/>
    <n v="4029"/>
    <x v="77"/>
    <x v="320"/>
    <x v="20"/>
    <x v="0"/>
  </r>
  <r>
    <s v="6a3097c3-2e5c-45f4-b3a0-08fc3286919d"/>
    <x v="0"/>
    <x v="321"/>
    <n v="4029"/>
    <x v="4"/>
    <x v="321"/>
    <x v="17"/>
    <x v="0"/>
  </r>
  <r>
    <s v="93c8a8eb-573f-4b40-b20d-1d2f65e057c6"/>
    <x v="0"/>
    <x v="322"/>
    <n v="4029"/>
    <x v="85"/>
    <x v="322"/>
    <x v="37"/>
    <x v="0"/>
  </r>
  <r>
    <s v="a1cea377-61b7-4f2e-b4f1-a133141523c2"/>
    <x v="10"/>
    <x v="323"/>
    <n v="4029"/>
    <x v="86"/>
    <x v="323"/>
    <x v="12"/>
    <x v="10"/>
  </r>
  <r>
    <s v="80ba5774-d04a-4d9c-90ca-b7455bd51f81"/>
    <x v="0"/>
    <x v="324"/>
    <n v="4029"/>
    <x v="77"/>
    <x v="324"/>
    <x v="9"/>
    <x v="0"/>
  </r>
  <r>
    <s v="084c272d-8992-4f96-b18a-fd6f062973c5"/>
    <x v="0"/>
    <x v="325"/>
    <n v="4029"/>
    <x v="77"/>
    <x v="325"/>
    <x v="3"/>
    <x v="0"/>
  </r>
  <r>
    <s v="53c44430-644f-438a-8ae5-d5c38753b135"/>
    <x v="21"/>
    <x v="326"/>
    <n v="4029"/>
    <x v="4"/>
    <x v="326"/>
    <x v="82"/>
    <x v="21"/>
  </r>
  <r>
    <s v="b22a6eae-c4c5-4e58-97f6-d5a373f1d7bf"/>
    <x v="0"/>
    <x v="327"/>
    <n v="86768"/>
    <x v="87"/>
    <x v="327"/>
    <x v="30"/>
    <x v="0"/>
  </r>
  <r>
    <s v="64237d9d-6c6c-44da-87ef-dc922fec5ab7"/>
    <x v="21"/>
    <x v="328"/>
    <n v="150"/>
    <x v="4"/>
    <x v="328"/>
    <x v="14"/>
    <x v="21"/>
  </r>
  <r>
    <s v="a04209d0-213f-499b-af79-b99a935b905a"/>
    <x v="0"/>
    <x v="329"/>
    <n v="86799"/>
    <x v="4"/>
    <x v="329"/>
    <x v="77"/>
    <x v="0"/>
  </r>
  <r>
    <s v="31adcffc-5cf3-41cd-85f2-3dc49d3812f6"/>
    <x v="21"/>
    <x v="330"/>
    <n v="4029"/>
    <x v="4"/>
    <x v="330"/>
    <x v="45"/>
    <x v="21"/>
  </r>
  <r>
    <s v="e36a9941-45fd-4b06-968c-2efb5d47ab01"/>
    <x v="30"/>
    <x v="331"/>
    <n v="4029"/>
    <x v="4"/>
    <x v="331"/>
    <x v="68"/>
    <x v="30"/>
  </r>
  <r>
    <s v="300bf6bb-bd02-4a10-9d61-108d78c85ed8"/>
    <x v="24"/>
    <x v="332"/>
    <n v="4029"/>
    <x v="75"/>
    <x v="332"/>
    <x v="68"/>
    <x v="24"/>
  </r>
  <r>
    <s v="2db4d22b-4d5e-4417-b04f-b60bf6e14787"/>
    <x v="0"/>
    <x v="333"/>
    <n v="4029"/>
    <x v="4"/>
    <x v="333"/>
    <x v="34"/>
    <x v="0"/>
  </r>
  <r>
    <s v="eea5d5c7-df96-49a2-8336-7016bfa11033"/>
    <x v="0"/>
    <x v="334"/>
    <n v="86832"/>
    <x v="4"/>
    <x v="334"/>
    <x v="23"/>
    <x v="0"/>
  </r>
  <r>
    <s v="180643df-99a6-49cb-ae8d-f6c8fbfdf67b"/>
    <x v="29"/>
    <x v="335"/>
    <n v="4029"/>
    <x v="4"/>
    <x v="335"/>
    <x v="15"/>
    <x v="29"/>
  </r>
  <r>
    <s v="42611678-950e-42a8-b7c0-fec9b9abf804"/>
    <x v="5"/>
    <x v="336"/>
    <n v="4029"/>
    <x v="12"/>
    <x v="336"/>
    <x v="12"/>
    <x v="5"/>
  </r>
  <r>
    <s v="dfd11572-2d13-4bc2-b66f-e94cdf74774c"/>
    <x v="0"/>
    <x v="337"/>
    <n v="4029"/>
    <x v="4"/>
    <x v="337"/>
    <x v="9"/>
    <x v="0"/>
  </r>
  <r>
    <s v="bcd69dc0-e504-4d95-965d-01b922e08982"/>
    <x v="20"/>
    <x v="338"/>
    <n v="4029"/>
    <x v="12"/>
    <x v="338"/>
    <x v="36"/>
    <x v="20"/>
  </r>
  <r>
    <s v="e4c62a0f-af1f-4883-a16a-bf93de970c28"/>
    <x v="20"/>
    <x v="339"/>
    <n v="4029"/>
    <x v="12"/>
    <x v="339"/>
    <x v="80"/>
    <x v="20"/>
  </r>
  <r>
    <s v="6c2b0e6a-557f-4243-a9e9-6eec1b5e3de8"/>
    <x v="24"/>
    <x v="340"/>
    <n v="4029"/>
    <x v="41"/>
    <x v="340"/>
    <x v="22"/>
    <x v="24"/>
  </r>
  <r>
    <s v="babdd685-6cb7-4e5c-8296-b6a6aa9bcb75"/>
    <x v="14"/>
    <x v="341"/>
    <n v="4029"/>
    <x v="88"/>
    <x v="341"/>
    <x v="23"/>
    <x v="14"/>
  </r>
  <r>
    <s v="2308a562-fe81-4c3e-aad6-83e7af2a5bc9"/>
    <x v="14"/>
    <x v="342"/>
    <n v="4029"/>
    <x v="12"/>
    <x v="342"/>
    <x v="15"/>
    <x v="14"/>
  </r>
  <r>
    <s v="9f041b23-8182-4d73-9631-bf2b556c67f0"/>
    <x v="14"/>
    <x v="343"/>
    <n v="4030"/>
    <x v="89"/>
    <x v="343"/>
    <x v="19"/>
    <x v="14"/>
  </r>
  <r>
    <s v="5e0faac5-6371-4002-8b69-680cf86cbfc8"/>
    <x v="24"/>
    <x v="344"/>
    <n v="86903"/>
    <x v="41"/>
    <x v="344"/>
    <x v="49"/>
    <x v="24"/>
  </r>
  <r>
    <s v="dc3804ff-8d31-4bc9-b5cf-e4d7f4f615f0"/>
    <x v="24"/>
    <x v="345"/>
    <n v="86903"/>
    <x v="41"/>
    <x v="345"/>
    <x v="51"/>
    <x v="24"/>
  </r>
  <r>
    <s v="f07853c0-a794-434b-b02b-92d6c4285a69"/>
    <x v="24"/>
    <x v="346"/>
    <n v="86903"/>
    <x v="41"/>
    <x v="346"/>
    <x v="75"/>
    <x v="24"/>
  </r>
  <r>
    <s v="cca81f8e-e0b5-445d-afc0-dbefaa044bc5"/>
    <x v="23"/>
    <x v="347"/>
    <n v="4040"/>
    <x v="20"/>
    <x v="347"/>
    <x v="58"/>
    <x v="23"/>
  </r>
  <r>
    <s v="9b6d58cd-d51c-4f37-ba8d-29ab545085a1"/>
    <x v="31"/>
    <x v="348"/>
    <n v="4040"/>
    <x v="20"/>
    <x v="348"/>
    <x v="58"/>
    <x v="31"/>
  </r>
  <r>
    <s v="3463b87f-e6d7-40a4-9c9b-acb83590331d"/>
    <x v="24"/>
    <x v="349"/>
    <n v="86903"/>
    <x v="41"/>
    <x v="349"/>
    <x v="58"/>
    <x v="24"/>
  </r>
  <r>
    <s v="08773f00-18e7-4446-adb0-d090bafcca10"/>
    <x v="23"/>
    <x v="350"/>
    <n v="4040"/>
    <x v="20"/>
    <x v="350"/>
    <x v="27"/>
    <x v="23"/>
  </r>
  <r>
    <s v="5ad162fa-355d-411a-a4e0-b533a7a95da5"/>
    <x v="23"/>
    <x v="351"/>
    <n v="4040"/>
    <x v="90"/>
    <x v="351"/>
    <x v="27"/>
    <x v="23"/>
  </r>
  <r>
    <s v="da0f0e5a-aa7e-4ce7-b6b0-4fb67b35fed0"/>
    <x v="32"/>
    <x v="352"/>
    <n v="4040"/>
    <x v="63"/>
    <x v="352"/>
    <x v="0"/>
    <x v="32"/>
  </r>
  <r>
    <s v="d8aa8c32-2d1a-4081-a490-1028c25acee0"/>
    <x v="32"/>
    <x v="353"/>
    <n v="4040"/>
    <x v="63"/>
    <x v="353"/>
    <x v="16"/>
    <x v="32"/>
  </r>
  <r>
    <s v="baa944eb-9ec8-4ee6-b285-50dc526baa93"/>
    <x v="33"/>
    <x v="354"/>
    <n v="86907"/>
    <x v="20"/>
    <x v="354"/>
    <x v="57"/>
    <x v="33"/>
  </r>
  <r>
    <s v="8d454930-96df-4315-8f7b-ae968c064571"/>
    <x v="33"/>
    <x v="355"/>
    <n v="86907"/>
    <x v="5"/>
    <x v="355"/>
    <x v="71"/>
    <x v="33"/>
  </r>
  <r>
    <s v="4fa9c61c-6520-4703-95cb-d5b7bf829a3b"/>
    <x v="33"/>
    <x v="356"/>
    <n v="86907"/>
    <x v="20"/>
    <x v="356"/>
    <x v="71"/>
    <x v="33"/>
  </r>
  <r>
    <s v="2cdfef40-d399-4d7e-8f59-8c37bbf761fd"/>
    <x v="21"/>
    <x v="357"/>
    <n v="4044"/>
    <x v="4"/>
    <x v="357"/>
    <x v="8"/>
    <x v="21"/>
  </r>
  <r>
    <s v="5e5cf652-c65b-46bb-9251-65bb6d56b1b4"/>
    <x v="14"/>
    <x v="358"/>
    <n v="4044"/>
    <x v="4"/>
    <x v="358"/>
    <x v="25"/>
    <x v="14"/>
  </r>
  <r>
    <s v="dda9fb78-55cf-4140-802d-d34f05c43fbb"/>
    <x v="0"/>
    <x v="359"/>
    <n v="4044"/>
    <x v="4"/>
    <x v="359"/>
    <x v="16"/>
    <x v="0"/>
  </r>
  <r>
    <s v="f361e826-38a0-4e44-a332-3b8e0652e544"/>
    <x v="21"/>
    <x v="360"/>
    <n v="4044"/>
    <x v="4"/>
    <x v="360"/>
    <x v="10"/>
    <x v="21"/>
  </r>
  <r>
    <s v="c01fe762-d6a8-4c7e-a3fe-971c8735329f"/>
    <x v="26"/>
    <x v="361"/>
    <n v="4044"/>
    <x v="91"/>
    <x v="361"/>
    <x v="17"/>
    <x v="26"/>
  </r>
  <r>
    <s v="645d87fb-f587-463b-a614-b5456e795024"/>
    <x v="14"/>
    <x v="362"/>
    <n v="4044"/>
    <x v="92"/>
    <x v="362"/>
    <x v="17"/>
    <x v="14"/>
  </r>
  <r>
    <s v="a1906df5-03f3-4367-bf7f-51061cf568a6"/>
    <x v="23"/>
    <x v="363"/>
    <n v="4142"/>
    <x v="63"/>
    <x v="363"/>
    <x v="28"/>
    <x v="23"/>
  </r>
  <r>
    <s v="54d685b2-2af1-438c-939e-3abe50dd3cd3"/>
    <x v="0"/>
    <x v="364"/>
    <n v="4044"/>
    <x v="93"/>
    <x v="364"/>
    <x v="11"/>
    <x v="0"/>
  </r>
  <r>
    <s v="c9145e00-9109-4e51-8bab-6d3d4d41be7e"/>
    <x v="23"/>
    <x v="365"/>
    <n v="4044"/>
    <x v="63"/>
    <x v="365"/>
    <x v="29"/>
    <x v="23"/>
  </r>
  <r>
    <s v="ed2290bc-4456-408e-a597-284c1ae5ec00"/>
    <x v="14"/>
    <x v="366"/>
    <n v="0"/>
    <x v="92"/>
    <x v="366"/>
    <x v="29"/>
    <x v="14"/>
  </r>
  <r>
    <s v="d295a54a-a1c4-40ab-a632-d65c3884a90c"/>
    <x v="21"/>
    <x v="367"/>
    <n v="4048"/>
    <x v="4"/>
    <x v="367"/>
    <x v="6"/>
    <x v="21"/>
  </r>
  <r>
    <s v="39643f4e-147b-4d57-bb9b-f6eb31c0ead4"/>
    <x v="34"/>
    <x v="368"/>
    <n v="4148"/>
    <x v="20"/>
    <x v="368"/>
    <x v="0"/>
    <x v="34"/>
  </r>
  <r>
    <s v="b94762ec-34ba-4aa7-ad00-835fac140335"/>
    <x v="34"/>
    <x v="369"/>
    <n v="0"/>
    <x v="19"/>
    <x v="369"/>
    <x v="25"/>
    <x v="34"/>
  </r>
  <r>
    <s v="6892ea30-0ffe-4e17-a7f3-35446199e9bd"/>
    <x v="34"/>
    <x v="370"/>
    <n v="197"/>
    <x v="20"/>
    <x v="370"/>
    <x v="10"/>
    <x v="34"/>
  </r>
  <r>
    <s v="d5cb8ef7-2ed3-42b8-a7b4-778d844dff2c"/>
    <x v="21"/>
    <x v="371"/>
    <n v="4052"/>
    <x v="4"/>
    <x v="371"/>
    <x v="3"/>
    <x v="21"/>
  </r>
  <r>
    <s v="7115187a-d442-4067-a47c-1102906e0286"/>
    <x v="19"/>
    <x v="372"/>
    <n v="87134"/>
    <x v="94"/>
    <x v="372"/>
    <x v="81"/>
    <x v="19"/>
  </r>
  <r>
    <s v="c8c418a2-1790-455f-899e-d33a0718edf7"/>
    <x v="32"/>
    <x v="373"/>
    <n v="4056"/>
    <x v="63"/>
    <x v="373"/>
    <x v="68"/>
    <x v="32"/>
  </r>
  <r>
    <s v="52b46a12-675b-4bfb-9478-b9efed4d3505"/>
    <x v="35"/>
    <x v="374"/>
    <n v="4056"/>
    <x v="20"/>
    <x v="374"/>
    <x v="52"/>
    <x v="35"/>
  </r>
  <r>
    <s v="5bf7f437-5c1e-4134-9b2e-85b05d0018f7"/>
    <x v="35"/>
    <x v="375"/>
    <n v="4056"/>
    <x v="20"/>
    <x v="375"/>
    <x v="53"/>
    <x v="35"/>
  </r>
  <r>
    <s v="0288aa63-1d79-4daf-9d16-dfba0a10b2a7"/>
    <x v="35"/>
    <x v="376"/>
    <n v="4056"/>
    <x v="20"/>
    <x v="376"/>
    <x v="71"/>
    <x v="35"/>
  </r>
  <r>
    <s v="69f925b7-43b3-4dd8-b1ed-6835dfa2bfcc"/>
    <x v="35"/>
    <x v="377"/>
    <n v="4056"/>
    <x v="20"/>
    <x v="377"/>
    <x v="58"/>
    <x v="35"/>
  </r>
  <r>
    <s v="9f749624-adb3-4ff5-9a5d-76ce31cf3f36"/>
    <x v="35"/>
    <x v="378"/>
    <n v="4056"/>
    <x v="20"/>
    <x v="378"/>
    <x v="38"/>
    <x v="35"/>
  </r>
  <r>
    <s v="de002f66-f16a-4882-a135-5ab699948d4b"/>
    <x v="21"/>
    <x v="379"/>
    <n v="4057"/>
    <x v="4"/>
    <x v="379"/>
    <x v="82"/>
    <x v="21"/>
  </r>
  <r>
    <s v="eddf6b28-ded9-4d94-a7e9-72fe50ac693d"/>
    <x v="35"/>
    <x v="380"/>
    <n v="4057"/>
    <x v="20"/>
    <x v="380"/>
    <x v="13"/>
    <x v="35"/>
  </r>
  <r>
    <s v="91c6f3e2-d374-4b8e-9674-5758b5ee5e76"/>
    <x v="35"/>
    <x v="381"/>
    <n v="0"/>
    <x v="20"/>
    <x v="381"/>
    <x v="13"/>
    <x v="35"/>
  </r>
  <r>
    <s v="b6987ec4-0acb-4f18-8e80-4f61d28edf11"/>
    <x v="21"/>
    <x v="382"/>
    <n v="4057"/>
    <x v="4"/>
    <x v="382"/>
    <x v="3"/>
    <x v="21"/>
  </r>
  <r>
    <s v="d1882498-4e66-41c1-be4b-78a1cb8bbcb2"/>
    <x v="35"/>
    <x v="383"/>
    <n v="4057"/>
    <x v="20"/>
    <x v="383"/>
    <x v="44"/>
    <x v="35"/>
  </r>
  <r>
    <s v="28ca2f75-22ca-44bd-b511-e2b9971075d9"/>
    <x v="35"/>
    <x v="384"/>
    <n v="4057"/>
    <x v="20"/>
    <x v="384"/>
    <x v="34"/>
    <x v="35"/>
  </r>
  <r>
    <s v="2e319bcb-28de-4637-861e-8d0870ccf3ea"/>
    <x v="35"/>
    <x v="385"/>
    <n v="4058"/>
    <x v="20"/>
    <x v="385"/>
    <x v="85"/>
    <x v="35"/>
  </r>
  <r>
    <s v="06ea91a3-2be0-4ea0-bd04-a00a4be857bd"/>
    <x v="35"/>
    <x v="386"/>
    <n v="4058"/>
    <x v="20"/>
    <x v="386"/>
    <x v="54"/>
    <x v="35"/>
  </r>
  <r>
    <s v="6b0ee0d9-cddf-4da0-a30f-653e2334792e"/>
    <x v="35"/>
    <x v="387"/>
    <n v="4058"/>
    <x v="20"/>
    <x v="387"/>
    <x v="57"/>
    <x v="35"/>
  </r>
  <r>
    <s v="a97c806f-b719-4f94-b44f-79df388ed3c3"/>
    <x v="35"/>
    <x v="388"/>
    <n v="4058"/>
    <x v="20"/>
    <x v="388"/>
    <x v="86"/>
    <x v="35"/>
  </r>
  <r>
    <s v="5c55ce1c-ead3-4689-b91f-ac6329b316b3"/>
    <x v="23"/>
    <x v="389"/>
    <n v="4058"/>
    <x v="63"/>
    <x v="389"/>
    <x v="25"/>
    <x v="23"/>
  </r>
  <r>
    <s v="93e8401b-bd3f-4ac4-ad7a-7cc808eea9e4"/>
    <x v="22"/>
    <x v="390"/>
    <n v="0"/>
    <x v="0"/>
    <x v="390"/>
    <x v="29"/>
    <x v="22"/>
  </r>
  <r>
    <s v="a30cf46f-1601-4d89-aed1-b01fb8b88ef8"/>
    <x v="36"/>
    <x v="391"/>
    <n v="4058"/>
    <x v="95"/>
    <x v="391"/>
    <x v="29"/>
    <x v="36"/>
  </r>
  <r>
    <s v="1af2f380-17fa-48c8-a109-0270e3ea9288"/>
    <x v="15"/>
    <x v="392"/>
    <n v="0"/>
    <x v="96"/>
    <x v="392"/>
    <x v="68"/>
    <x v="15"/>
  </r>
  <r>
    <s v="1f5f6a89-1199-4592-bb87-5557fae377a1"/>
    <x v="15"/>
    <x v="393"/>
    <n v="0"/>
    <x v="97"/>
    <x v="393"/>
    <x v="68"/>
    <x v="15"/>
  </r>
  <r>
    <s v="7c14a8f6-a3d3-4367-8ab6-e489ac2ba37d"/>
    <x v="0"/>
    <x v="394"/>
    <n v="4060"/>
    <x v="97"/>
    <x v="394"/>
    <x v="48"/>
    <x v="0"/>
  </r>
  <r>
    <s v="f1128b51-dd4b-42eb-92c8-b216805280e6"/>
    <x v="35"/>
    <x v="395"/>
    <n v="4060"/>
    <x v="20"/>
    <x v="395"/>
    <x v="18"/>
    <x v="35"/>
  </r>
  <r>
    <s v="db91cfc8-4821-4ffd-b190-a746a37401e9"/>
    <x v="24"/>
    <x v="396"/>
    <n v="87350"/>
    <x v="12"/>
    <x v="396"/>
    <x v="67"/>
    <x v="24"/>
  </r>
  <r>
    <s v="8bc3f2d8-1fda-4198-bec5-aa3979e5181f"/>
    <x v="24"/>
    <x v="397"/>
    <n v="87350"/>
    <x v="12"/>
    <x v="397"/>
    <x v="39"/>
    <x v="24"/>
  </r>
  <r>
    <s v="ca720f16-8fbf-4f8a-9075-74303333ccc9"/>
    <x v="20"/>
    <x v="398"/>
    <n v="4060"/>
    <x v="12"/>
    <x v="398"/>
    <x v="53"/>
    <x v="20"/>
  </r>
  <r>
    <s v="b0c992d7-296d-4fc8-8efe-b915e74b976a"/>
    <x v="24"/>
    <x v="399"/>
    <n v="4060"/>
    <x v="12"/>
    <x v="399"/>
    <x v="54"/>
    <x v="24"/>
  </r>
  <r>
    <s v="50323291-4762-4274-9300-539ea88b56b1"/>
    <x v="24"/>
    <x v="400"/>
    <n v="4060"/>
    <x v="12"/>
    <x v="400"/>
    <x v="22"/>
    <x v="24"/>
  </r>
  <r>
    <s v="9b0d0743-d944-44c7-b9e8-702ae081c37c"/>
    <x v="24"/>
    <x v="401"/>
    <n v="87350"/>
    <x v="12"/>
    <x v="401"/>
    <x v="57"/>
    <x v="24"/>
  </r>
  <r>
    <s v="8a66f538-6b3c-4e31-b3be-0e5e3f89d130"/>
    <x v="24"/>
    <x v="402"/>
    <n v="87352"/>
    <x v="12"/>
    <x v="402"/>
    <x v="58"/>
    <x v="24"/>
  </r>
  <r>
    <s v="f19754d1-3bcd-4480-b53c-5d087d5746e5"/>
    <x v="12"/>
    <x v="403"/>
    <n v="4060"/>
    <x v="12"/>
    <x v="403"/>
    <x v="86"/>
    <x v="12"/>
  </r>
  <r>
    <s v="01866ffc-d81a-4e03-b00f-bced38c57627"/>
    <x v="24"/>
    <x v="404"/>
    <n v="1"/>
    <x v="12"/>
    <x v="404"/>
    <x v="86"/>
    <x v="24"/>
  </r>
  <r>
    <s v="8f57b4ef-e54b-4347-8ee2-7b3298a39310"/>
    <x v="24"/>
    <x v="405"/>
    <n v="4060"/>
    <x v="12"/>
    <x v="405"/>
    <x v="66"/>
    <x v="24"/>
  </r>
  <r>
    <s v="2c166881-635f-4432-98a9-8b856cacf89b"/>
    <x v="12"/>
    <x v="406"/>
    <n v="4060"/>
    <x v="12"/>
    <x v="406"/>
    <x v="62"/>
    <x v="12"/>
  </r>
  <r>
    <s v="6a8660bb-1cd9-484d-a9ea-7180fe66c31a"/>
    <x v="0"/>
    <x v="407"/>
    <n v="87522"/>
    <x v="97"/>
    <x v="407"/>
    <x v="33"/>
    <x v="0"/>
  </r>
  <r>
    <s v="ba8a3770-eaf2-48b9-987d-c1d0ed2eda81"/>
    <x v="0"/>
    <x v="408"/>
    <n v="6240"/>
    <x v="97"/>
    <x v="408"/>
    <x v="44"/>
    <x v="0"/>
  </r>
  <r>
    <s v="131e6e90-62b8-4474-b6dc-bb0da6881ae3"/>
    <x v="24"/>
    <x v="409"/>
    <n v="87526"/>
    <x v="12"/>
    <x v="409"/>
    <x v="79"/>
    <x v="24"/>
  </r>
  <r>
    <s v="3058ac4d-b98b-4c8e-931f-001cb7ef63b9"/>
    <x v="24"/>
    <x v="410"/>
    <n v="87526"/>
    <x v="20"/>
    <x v="410"/>
    <x v="79"/>
    <x v="24"/>
  </r>
  <r>
    <s v="49c844b9-d20a-4c30-9af3-579232a9911c"/>
    <x v="24"/>
    <x v="411"/>
    <n v="6240"/>
    <x v="41"/>
    <x v="411"/>
    <x v="18"/>
    <x v="24"/>
  </r>
  <r>
    <s v="46549503-fcf9-4aa0-b0f4-a1b37a9acbf7"/>
    <x v="24"/>
    <x v="412"/>
    <n v="6240"/>
    <x v="12"/>
    <x v="412"/>
    <x v="87"/>
    <x v="24"/>
  </r>
  <r>
    <s v="2a5485fc-a143-41a7-964f-d35c6e9dc965"/>
    <x v="24"/>
    <x v="413"/>
    <n v="6240"/>
    <x v="12"/>
    <x v="413"/>
    <x v="43"/>
    <x v="24"/>
  </r>
  <r>
    <s v="0f1c181f-8214-4cf4-a0f8-38b9d4d8547b"/>
    <x v="20"/>
    <x v="414"/>
    <n v="6240"/>
    <x v="77"/>
    <x v="414"/>
    <x v="54"/>
    <x v="20"/>
  </r>
  <r>
    <s v="836659d5-98fb-43a1-b10e-3d2e29195ae3"/>
    <x v="20"/>
    <x v="415"/>
    <n v="6240"/>
    <x v="75"/>
    <x v="415"/>
    <x v="22"/>
    <x v="20"/>
  </r>
  <r>
    <s v="b59fc2f1-4215-4fb0-bbd6-8a4c42d47e6c"/>
    <x v="24"/>
    <x v="416"/>
    <n v="87528"/>
    <x v="12"/>
    <x v="416"/>
    <x v="57"/>
    <x v="24"/>
  </r>
  <r>
    <s v="f7868824-367d-49b1-908e-7d06855a4eb8"/>
    <x v="24"/>
    <x v="417"/>
    <n v="6240"/>
    <x v="75"/>
    <x v="417"/>
    <x v="50"/>
    <x v="24"/>
  </r>
  <r>
    <s v="e348fc28-541c-4902-ac74-f3c9f549588d"/>
    <x v="24"/>
    <x v="418"/>
    <n v="6240"/>
    <x v="75"/>
    <x v="418"/>
    <x v="42"/>
    <x v="24"/>
  </r>
  <r>
    <s v="3c0b8739-f1da-4c79-a203-45e0f0e5d501"/>
    <x v="24"/>
    <x v="419"/>
    <n v="6240"/>
    <x v="75"/>
    <x v="419"/>
    <x v="52"/>
    <x v="24"/>
  </r>
  <r>
    <s v="570e5b0c-a5d0-42f9-83be-7853e2c00ebb"/>
    <x v="24"/>
    <x v="420"/>
    <n v="6240"/>
    <x v="75"/>
    <x v="420"/>
    <x v="74"/>
    <x v="24"/>
  </r>
  <r>
    <s v="c0e8d135-101c-4a6b-b63a-f62c03afc7d4"/>
    <x v="24"/>
    <x v="421"/>
    <n v="6240"/>
    <x v="12"/>
    <x v="421"/>
    <x v="74"/>
    <x v="24"/>
  </r>
  <r>
    <s v="00946afe-88da-4735-829b-18e4aaa28f8f"/>
    <x v="24"/>
    <x v="422"/>
    <n v="87556"/>
    <x v="98"/>
    <x v="422"/>
    <x v="88"/>
    <x v="24"/>
  </r>
  <r>
    <s v="3fb05781-33e1-4e13-b0e9-aac02c6af2f9"/>
    <x v="20"/>
    <x v="423"/>
    <n v="6240"/>
    <x v="12"/>
    <x v="423"/>
    <x v="57"/>
    <x v="20"/>
  </r>
  <r>
    <s v="3deb1fd9-d90d-44cb-8ca0-504df30ea9da"/>
    <x v="24"/>
    <x v="424"/>
    <n v="87556"/>
    <x v="75"/>
    <x v="424"/>
    <x v="57"/>
    <x v="24"/>
  </r>
  <r>
    <s v="9f307c2d-a0e0-46e5-9e57-ff09d386e003"/>
    <x v="24"/>
    <x v="425"/>
    <n v="87557"/>
    <x v="75"/>
    <x v="425"/>
    <x v="63"/>
    <x v="24"/>
  </r>
  <r>
    <s v="2b5420a8-1629-4a70-b049-15f8d8f2b463"/>
    <x v="9"/>
    <x v="426"/>
    <n v="6240"/>
    <x v="0"/>
    <x v="426"/>
    <x v="30"/>
    <x v="9"/>
  </r>
  <r>
    <s v="871bc0f1-45fd-41d5-b5d9-a8484cabb0c3"/>
    <x v="12"/>
    <x v="427"/>
    <n v="6240"/>
    <x v="99"/>
    <x v="427"/>
    <x v="74"/>
    <x v="12"/>
  </r>
  <r>
    <s v="bcd3c3c0-9c74-48ad-8a92-2a224e8e62ec"/>
    <x v="37"/>
    <x v="428"/>
    <n v="6240"/>
    <x v="4"/>
    <x v="428"/>
    <x v="22"/>
    <x v="37"/>
  </r>
  <r>
    <s v="bda6cec4-c5e1-49be-bb9b-2939ed7a1632"/>
    <x v="37"/>
    <x v="429"/>
    <n v="6240"/>
    <x v="100"/>
    <x v="429"/>
    <x v="65"/>
    <x v="37"/>
  </r>
  <r>
    <s v="25101582-8f5c-454b-a122-8c0ba3d6233d"/>
    <x v="37"/>
    <x v="430"/>
    <n v="30"/>
    <x v="4"/>
    <x v="430"/>
    <x v="56"/>
    <x v="37"/>
  </r>
  <r>
    <s v="57bddec6-4ff4-4dfc-a3a3-122ded51c0c5"/>
    <x v="26"/>
    <x v="431"/>
    <n v="6240"/>
    <x v="81"/>
    <x v="431"/>
    <x v="19"/>
    <x v="26"/>
  </r>
  <r>
    <s v="b01c1458-1490-4e88-9499-b6d52b50d1a8"/>
    <x v="0"/>
    <x v="432"/>
    <n v="87665"/>
    <x v="97"/>
    <x v="432"/>
    <x v="25"/>
    <x v="0"/>
  </r>
  <r>
    <s v="23c5c913-caeb-419b-b0f5-f980c98298e0"/>
    <x v="21"/>
    <x v="433"/>
    <n v="0"/>
    <x v="4"/>
    <x v="433"/>
    <x v="7"/>
    <x v="21"/>
  </r>
  <r>
    <s v="63af8c7a-7120-4d77-842e-379f776f164d"/>
    <x v="21"/>
    <x v="434"/>
    <n v="6240"/>
    <x v="39"/>
    <x v="434"/>
    <x v="7"/>
    <x v="21"/>
  </r>
  <r>
    <s v="9ceb516d-1211-469e-a891-01be051ead5d"/>
    <x v="0"/>
    <x v="435"/>
    <n v="6242"/>
    <x v="101"/>
    <x v="435"/>
    <x v="21"/>
    <x v="0"/>
  </r>
  <r>
    <s v="ff324789-ec4b-4f82-858d-8ac6240a68f0"/>
    <x v="6"/>
    <x v="436"/>
    <n v="6242"/>
    <x v="102"/>
    <x v="436"/>
    <x v="25"/>
    <x v="6"/>
  </r>
  <r>
    <s v="8b167244-7c24-4f15-8283-c7edbd15332b"/>
    <x v="21"/>
    <x v="437"/>
    <n v="6242"/>
    <x v="4"/>
    <x v="437"/>
    <x v="82"/>
    <x v="21"/>
  </r>
  <r>
    <s v="d9b0f190-fe90-4cc1-8ee5-404357264e54"/>
    <x v="4"/>
    <x v="438"/>
    <n v="6242"/>
    <x v="1"/>
    <x v="438"/>
    <x v="26"/>
    <x v="4"/>
  </r>
  <r>
    <s v="1265a835-4df2-48c1-9b58-aa74b7f46ca0"/>
    <x v="32"/>
    <x v="439"/>
    <n v="6243"/>
    <x v="63"/>
    <x v="439"/>
    <x v="45"/>
    <x v="32"/>
  </r>
  <r>
    <s v="8d7d5013-5a03-4e75-ad73-54ea157a189e"/>
    <x v="32"/>
    <x v="440"/>
    <n v="6245"/>
    <x v="103"/>
    <x v="440"/>
    <x v="10"/>
    <x v="32"/>
  </r>
  <r>
    <s v="30abfd63-f339-47e1-8e40-e4c0fca5dd4e"/>
    <x v="23"/>
    <x v="441"/>
    <n v="6245"/>
    <x v="63"/>
    <x v="441"/>
    <x v="24"/>
    <x v="23"/>
  </r>
  <r>
    <s v="1ceb875c-01f1-4144-b4a4-25fa95c81167"/>
    <x v="32"/>
    <x v="442"/>
    <n v="6247"/>
    <x v="103"/>
    <x v="442"/>
    <x v="20"/>
    <x v="32"/>
  </r>
  <r>
    <s v="ddf79ff9-fe26-4475-90ab-72c0f9ec02d5"/>
    <x v="4"/>
    <x v="443"/>
    <n v="6247"/>
    <x v="1"/>
    <x v="443"/>
    <x v="11"/>
    <x v="4"/>
  </r>
  <r>
    <s v="3a26e327-2659-429f-9fe7-85292fd53f94"/>
    <x v="32"/>
    <x v="444"/>
    <n v="6247"/>
    <x v="103"/>
    <x v="444"/>
    <x v="37"/>
    <x v="32"/>
  </r>
  <r>
    <s v="64c2536c-64d6-4443-994c-726875a6b387"/>
    <x v="0"/>
    <x v="445"/>
    <n v="89597"/>
    <x v="0"/>
    <x v="445"/>
    <x v="12"/>
    <x v="0"/>
  </r>
  <r>
    <s v="e86c12cb-bf0c-427a-9655-1c69fc8d9cb8"/>
    <x v="32"/>
    <x v="446"/>
    <n v="6247"/>
    <x v="103"/>
    <x v="446"/>
    <x v="1"/>
    <x v="32"/>
  </r>
  <r>
    <s v="b0333ace-a49f-422b-b534-6fa8a356e0b3"/>
    <x v="32"/>
    <x v="447"/>
    <n v="6247"/>
    <x v="103"/>
    <x v="447"/>
    <x v="45"/>
    <x v="32"/>
  </r>
  <r>
    <s v="442afe8b-7c5d-45b8-b086-1834112f99b0"/>
    <x v="36"/>
    <x v="448"/>
    <n v="6247"/>
    <x v="95"/>
    <x v="448"/>
    <x v="89"/>
    <x v="36"/>
  </r>
  <r>
    <s v="484d7361-168c-4047-af87-7d4b2cbc3b48"/>
    <x v="0"/>
    <x v="449"/>
    <n v="88161"/>
    <x v="0"/>
    <x v="449"/>
    <x v="11"/>
    <x v="0"/>
  </r>
  <r>
    <s v="44acc374-f818-4916-90bc-6c132e727c67"/>
    <x v="24"/>
    <x v="450"/>
    <n v="88193"/>
    <x v="12"/>
    <x v="450"/>
    <x v="36"/>
    <x v="24"/>
  </r>
  <r>
    <s v="53b903be-e72c-4a1b-99f1-f34948683104"/>
    <x v="37"/>
    <x v="451"/>
    <n v="6247"/>
    <x v="104"/>
    <x v="451"/>
    <x v="90"/>
    <x v="37"/>
  </r>
  <r>
    <s v="b3be1c2b-f572-48cf-96d8-d5b7d3e50341"/>
    <x v="37"/>
    <x v="452"/>
    <n v="6247"/>
    <x v="104"/>
    <x v="452"/>
    <x v="22"/>
    <x v="37"/>
  </r>
  <r>
    <s v="6908741f-0500-490a-8dbd-8c98d6114dee"/>
    <x v="24"/>
    <x v="453"/>
    <n v="88195"/>
    <x v="75"/>
    <x v="453"/>
    <x v="57"/>
    <x v="24"/>
  </r>
  <r>
    <s v="e7e8b201-5392-4a75-a596-06fa4cf41deb"/>
    <x v="24"/>
    <x v="454"/>
    <n v="6247"/>
    <x v="75"/>
    <x v="454"/>
    <x v="91"/>
    <x v="24"/>
  </r>
  <r>
    <s v="dca843f4-d4a4-4601-b817-c0c16549096a"/>
    <x v="9"/>
    <x v="455"/>
    <n v="6247"/>
    <x v="27"/>
    <x v="455"/>
    <x v="15"/>
    <x v="9"/>
  </r>
  <r>
    <s v="714e7c6c-c313-40e3-859a-5233eae062be"/>
    <x v="9"/>
    <x v="456"/>
    <n v="6247"/>
    <x v="27"/>
    <x v="456"/>
    <x v="28"/>
    <x v="9"/>
  </r>
  <r>
    <s v="49897f20-9315-42e9-b9dc-6b6bccb44671"/>
    <x v="24"/>
    <x v="457"/>
    <n v="6247"/>
    <x v="20"/>
    <x v="457"/>
    <x v="47"/>
    <x v="24"/>
  </r>
  <r>
    <s v="674eb0de-1853-4295-8895-11a297546c64"/>
    <x v="24"/>
    <x v="458"/>
    <n v="6247"/>
    <x v="41"/>
    <x v="458"/>
    <x v="76"/>
    <x v="24"/>
  </r>
  <r>
    <s v="0e6d8dd8-4baa-4314-a7d6-62b6b9d01547"/>
    <x v="20"/>
    <x v="459"/>
    <n v="6247"/>
    <x v="12"/>
    <x v="459"/>
    <x v="54"/>
    <x v="20"/>
  </r>
  <r>
    <s v="13e34163-1857-4482-abea-facfe6d95dda"/>
    <x v="24"/>
    <x v="460"/>
    <n v="6247"/>
    <x v="41"/>
    <x v="460"/>
    <x v="86"/>
    <x v="24"/>
  </r>
  <r>
    <s v="40d52f80-e642-44c7-847c-ab625d72bfd8"/>
    <x v="12"/>
    <x v="461"/>
    <n v="6247"/>
    <x v="5"/>
    <x v="461"/>
    <x v="59"/>
    <x v="12"/>
  </r>
  <r>
    <s v="05a27f8b-b6e8-4159-a9f6-ddbc2ca19612"/>
    <x v="9"/>
    <x v="462"/>
    <n v="6247"/>
    <x v="0"/>
    <x v="462"/>
    <x v="27"/>
    <x v="9"/>
  </r>
  <r>
    <s v="1bdf3973-a1bc-4e75-8f27-f882fc8754fc"/>
    <x v="9"/>
    <x v="463"/>
    <n v="6247"/>
    <x v="0"/>
    <x v="463"/>
    <x v="19"/>
    <x v="9"/>
  </r>
  <r>
    <s v="be278e15-0865-481f-afc0-b356cf45ca6b"/>
    <x v="24"/>
    <x v="464"/>
    <n v="0"/>
    <x v="104"/>
    <x v="464"/>
    <x v="8"/>
    <x v="24"/>
  </r>
  <r>
    <s v="1e489d07-dab7-4a7c-b1a8-2991de6b6ed7"/>
    <x v="24"/>
    <x v="465"/>
    <n v="6247"/>
    <x v="104"/>
    <x v="465"/>
    <x v="8"/>
    <x v="24"/>
  </r>
  <r>
    <s v="31496210-8051-4985-8bce-53f08381ca6b"/>
    <x v="10"/>
    <x v="466"/>
    <n v="1"/>
    <x v="105"/>
    <x v="466"/>
    <x v="8"/>
    <x v="10"/>
  </r>
  <r>
    <s v="a8db9585-f02c-4c71-8b6c-cf976c7e2458"/>
    <x v="9"/>
    <x v="467"/>
    <n v="6247"/>
    <x v="0"/>
    <x v="467"/>
    <x v="29"/>
    <x v="9"/>
  </r>
  <r>
    <s v="d49289ed-84a5-43d4-9ed0-d62927a01705"/>
    <x v="9"/>
    <x v="468"/>
    <n v="6247"/>
    <x v="0"/>
    <x v="468"/>
    <x v="4"/>
    <x v="9"/>
  </r>
  <r>
    <s v="a7a0e5ff-f683-4dfe-b7cd-6599fedf065b"/>
    <x v="9"/>
    <x v="469"/>
    <n v="6247"/>
    <x v="0"/>
    <x v="469"/>
    <x v="40"/>
    <x v="9"/>
  </r>
  <r>
    <s v="bf0930af-21e2-42a4-848e-acf325795312"/>
    <x v="24"/>
    <x v="470"/>
    <n v="1"/>
    <x v="104"/>
    <x v="470"/>
    <x v="35"/>
    <x v="24"/>
  </r>
  <r>
    <s v="5e77c468-01c3-4ee2-a4ac-1013121ef3a6"/>
    <x v="24"/>
    <x v="471"/>
    <n v="6247"/>
    <x v="41"/>
    <x v="471"/>
    <x v="15"/>
    <x v="24"/>
  </r>
  <r>
    <s v="94d6a4f4-1445-4828-b12a-32fd38de751d"/>
    <x v="33"/>
    <x v="472"/>
    <n v="0"/>
    <x v="20"/>
    <x v="472"/>
    <x v="68"/>
    <x v="33"/>
  </r>
  <r>
    <s v="ee7884c8-85ac-4451-8b09-edfc39319a94"/>
    <x v="33"/>
    <x v="473"/>
    <n v="0"/>
    <x v="12"/>
    <x v="473"/>
    <x v="68"/>
    <x v="33"/>
  </r>
  <r>
    <s v="c28af5dc-06d1-4432-89ac-b83cc48b004f"/>
    <x v="33"/>
    <x v="474"/>
    <n v="0"/>
    <x v="20"/>
    <x v="474"/>
    <x v="85"/>
    <x v="33"/>
  </r>
  <r>
    <s v="a58ffd85-99c2-445f-9d16-dfcdb44a8399"/>
    <x v="33"/>
    <x v="475"/>
    <n v="0"/>
    <x v="11"/>
    <x v="475"/>
    <x v="85"/>
    <x v="33"/>
  </r>
  <r>
    <s v="ad41ab7e-56bf-4d3d-8dd4-9776abb9e77f"/>
    <x v="33"/>
    <x v="476"/>
    <n v="88262"/>
    <x v="5"/>
    <x v="476"/>
    <x v="85"/>
    <x v="33"/>
  </r>
  <r>
    <s v="f7d40eee-5647-46f8-83fc-94ad8a2c453d"/>
    <x v="24"/>
    <x v="477"/>
    <n v="88262"/>
    <x v="12"/>
    <x v="477"/>
    <x v="43"/>
    <x v="24"/>
  </r>
  <r>
    <s v="57bd2602-2678-4fd9-ba6b-2138d827d7e3"/>
    <x v="24"/>
    <x v="478"/>
    <n v="88262"/>
    <x v="106"/>
    <x v="478"/>
    <x v="65"/>
    <x v="24"/>
  </r>
  <r>
    <s v="252e0831-87c6-43d4-864c-a376440e522c"/>
    <x v="19"/>
    <x v="479"/>
    <n v="88262"/>
    <x v="24"/>
    <x v="479"/>
    <x v="65"/>
    <x v="19"/>
  </r>
  <r>
    <s v="b9b276eb-ce7d-40e2-ba59-7efbaa265adf"/>
    <x v="24"/>
    <x v="480"/>
    <n v="88262"/>
    <x v="106"/>
    <x v="480"/>
    <x v="65"/>
    <x v="24"/>
  </r>
  <r>
    <s v="432ef5f4-40e7-42e1-a600-a699d4533cec"/>
    <x v="24"/>
    <x v="481"/>
    <n v="6247"/>
    <x v="41"/>
    <x v="481"/>
    <x v="88"/>
    <x v="24"/>
  </r>
  <r>
    <s v="63694ff0-ff43-4721-b53b-7b63cc92d709"/>
    <x v="12"/>
    <x v="482"/>
    <n v="6247"/>
    <x v="107"/>
    <x v="482"/>
    <x v="56"/>
    <x v="12"/>
  </r>
  <r>
    <s v="791a4148-3823-457f-9fce-d91b2736d4fb"/>
    <x v="33"/>
    <x v="483"/>
    <n v="88262"/>
    <x v="20"/>
    <x v="483"/>
    <x v="56"/>
    <x v="33"/>
  </r>
  <r>
    <s v="840e6d3f-3163-4ce4-b878-5d270cbaa0fa"/>
    <x v="33"/>
    <x v="484"/>
    <n v="88262"/>
    <x v="5"/>
    <x v="484"/>
    <x v="57"/>
    <x v="33"/>
  </r>
  <r>
    <s v="5406586d-9adf-47c4-b271-4d7e5194470f"/>
    <x v="12"/>
    <x v="485"/>
    <n v="6247"/>
    <x v="107"/>
    <x v="485"/>
    <x v="91"/>
    <x v="12"/>
  </r>
  <r>
    <s v="463c0e15-beb7-4dc3-bb67-80022322ced7"/>
    <x v="24"/>
    <x v="486"/>
    <n v="6249"/>
    <x v="41"/>
    <x v="486"/>
    <x v="66"/>
    <x v="24"/>
  </r>
  <r>
    <s v="d1750ea5-f78a-476d-b181-b752c0aba3dd"/>
    <x v="0"/>
    <x v="487"/>
    <n v="160"/>
    <x v="4"/>
    <x v="487"/>
    <x v="19"/>
    <x v="0"/>
  </r>
  <r>
    <s v="2dc38dcc-68e9-43a3-9317-0115beb7c814"/>
    <x v="0"/>
    <x v="488"/>
    <n v="6249"/>
    <x v="4"/>
    <x v="488"/>
    <x v="0"/>
    <x v="0"/>
  </r>
  <r>
    <s v="0952f6ee-7484-43e1-b30f-434462823a3f"/>
    <x v="0"/>
    <x v="489"/>
    <n v="88279"/>
    <x v="0"/>
    <x v="489"/>
    <x v="7"/>
    <x v="0"/>
  </r>
  <r>
    <s v="aeeae01f-6a34-4b03-a234-eec7500f5a14"/>
    <x v="0"/>
    <x v="490"/>
    <n v="203"/>
    <x v="4"/>
    <x v="490"/>
    <x v="10"/>
    <x v="0"/>
  </r>
  <r>
    <s v="74a0573b-ae72-4059-8ab2-dc1c0a08c720"/>
    <x v="0"/>
    <x v="491"/>
    <n v="203"/>
    <x v="4"/>
    <x v="491"/>
    <x v="26"/>
    <x v="0"/>
  </r>
  <r>
    <s v="c36ecdc3-565b-40e9-81c8-3b2e272c1789"/>
    <x v="32"/>
    <x v="492"/>
    <n v="6249"/>
    <x v="108"/>
    <x v="492"/>
    <x v="13"/>
    <x v="32"/>
  </r>
  <r>
    <s v="d580ea34-3c46-4aba-9ee2-a043f480cb5d"/>
    <x v="32"/>
    <x v="493"/>
    <n v="6249"/>
    <x v="108"/>
    <x v="493"/>
    <x v="44"/>
    <x v="32"/>
  </r>
  <r>
    <s v="2179bafe-dda5-480c-a4c5-527b72e55261"/>
    <x v="19"/>
    <x v="494"/>
    <n v="88337"/>
    <x v="24"/>
    <x v="494"/>
    <x v="78"/>
    <x v="19"/>
  </r>
  <r>
    <s v="f5a28484-8f3f-4cab-9091-226ec110759e"/>
    <x v="33"/>
    <x v="495"/>
    <n v="88337"/>
    <x v="75"/>
    <x v="495"/>
    <x v="78"/>
    <x v="33"/>
  </r>
  <r>
    <s v="ffc804f3-9395-4330-892e-dc66c7581668"/>
    <x v="33"/>
    <x v="496"/>
    <n v="88337"/>
    <x v="75"/>
    <x v="496"/>
    <x v="49"/>
    <x v="33"/>
  </r>
  <r>
    <s v="6ad22657-9817-436f-9ae0-797830131262"/>
    <x v="19"/>
    <x v="497"/>
    <n v="88337"/>
    <x v="24"/>
    <x v="497"/>
    <x v="79"/>
    <x v="19"/>
  </r>
  <r>
    <s v="5843e7a3-368c-4d3f-b733-3aa4074b916a"/>
    <x v="33"/>
    <x v="498"/>
    <n v="88337"/>
    <x v="75"/>
    <x v="498"/>
    <x v="87"/>
    <x v="33"/>
  </r>
  <r>
    <s v="933fc77e-839a-4bd8-8ae3-ed22cf55a223"/>
    <x v="19"/>
    <x v="499"/>
    <n v="88337"/>
    <x v="24"/>
    <x v="499"/>
    <x v="87"/>
    <x v="19"/>
  </r>
  <r>
    <s v="32b004b9-60b8-4351-a970-b5864521877f"/>
    <x v="19"/>
    <x v="500"/>
    <n v="88337"/>
    <x v="24"/>
    <x v="500"/>
    <x v="43"/>
    <x v="19"/>
  </r>
  <r>
    <s v="84ef3e2c-f958-4aed-9e2d-f6d8632b4391"/>
    <x v="33"/>
    <x v="501"/>
    <n v="88337"/>
    <x v="75"/>
    <x v="501"/>
    <x v="36"/>
    <x v="33"/>
  </r>
  <r>
    <s v="231ba4fd-559c-45b5-b6bc-99778280aa5d"/>
    <x v="33"/>
    <x v="502"/>
    <n v="88337"/>
    <x v="75"/>
    <x v="502"/>
    <x v="80"/>
    <x v="33"/>
  </r>
  <r>
    <s v="1ebd3234-f232-4914-a784-f2f68690fa48"/>
    <x v="32"/>
    <x v="503"/>
    <n v="6253"/>
    <x v="109"/>
    <x v="503"/>
    <x v="26"/>
    <x v="32"/>
  </r>
  <r>
    <s v="1c673201-80b7-4ada-93af-9b17c4b108f5"/>
    <x v="32"/>
    <x v="504"/>
    <n v="6253"/>
    <x v="63"/>
    <x v="504"/>
    <x v="11"/>
    <x v="32"/>
  </r>
  <r>
    <s v="8762a1d7-f828-4c23-96c6-0b6f24929e83"/>
    <x v="32"/>
    <x v="505"/>
    <n v="6253"/>
    <x v="63"/>
    <x v="505"/>
    <x v="5"/>
    <x v="32"/>
  </r>
  <r>
    <s v="f9eee558-d4ed-43c1-be13-78b292ac0b60"/>
    <x v="0"/>
    <x v="506"/>
    <n v="88590"/>
    <x v="0"/>
    <x v="506"/>
    <x v="77"/>
    <x v="0"/>
  </r>
  <r>
    <s v="2ee45e71-1203-4d4f-bd7e-3e2a9aaa1f17"/>
    <x v="14"/>
    <x v="507"/>
    <n v="6253"/>
    <x v="12"/>
    <x v="507"/>
    <x v="77"/>
    <x v="14"/>
  </r>
  <r>
    <s v="06390688-530e-43f8-8350-0930d52c3307"/>
    <x v="19"/>
    <x v="508"/>
    <n v="88592"/>
    <x v="24"/>
    <x v="508"/>
    <x v="77"/>
    <x v="19"/>
  </r>
  <r>
    <s v="7eb695ca-3304-43fb-9aa5-54dfb98925b5"/>
    <x v="32"/>
    <x v="509"/>
    <n v="6253"/>
    <x v="63"/>
    <x v="509"/>
    <x v="6"/>
    <x v="32"/>
  </r>
  <r>
    <s v="36d0b4cd-baee-42c6-9b9b-c39706dc4445"/>
    <x v="32"/>
    <x v="510"/>
    <n v="6253"/>
    <x v="110"/>
    <x v="510"/>
    <x v="6"/>
    <x v="32"/>
  </r>
  <r>
    <s v="65c92a23-7e32-4316-93f1-e20b2645dac5"/>
    <x v="19"/>
    <x v="511"/>
    <n v="88592"/>
    <x v="24"/>
    <x v="511"/>
    <x v="45"/>
    <x v="19"/>
  </r>
  <r>
    <s v="30fcf0d3-fd45-4ad4-9ecf-da1457707fb3"/>
    <x v="14"/>
    <x v="512"/>
    <n v="6253"/>
    <x v="12"/>
    <x v="512"/>
    <x v="73"/>
    <x v="14"/>
  </r>
  <r>
    <s v="ef37858d-f1bf-46a8-a284-402d3f91fe35"/>
    <x v="32"/>
    <x v="513"/>
    <n v="6253"/>
    <x v="110"/>
    <x v="513"/>
    <x v="81"/>
    <x v="32"/>
  </r>
  <r>
    <s v="65e850ed-6e92-498e-9fee-8ada0227a7d3"/>
    <x v="32"/>
    <x v="514"/>
    <n v="6253"/>
    <x v="63"/>
    <x v="514"/>
    <x v="81"/>
    <x v="32"/>
  </r>
  <r>
    <s v="622c3e73-47ce-4de0-bf1b-345a68fd0551"/>
    <x v="32"/>
    <x v="515"/>
    <n v="6253"/>
    <x v="63"/>
    <x v="515"/>
    <x v="48"/>
    <x v="32"/>
  </r>
  <r>
    <s v="b3e12708-cfd3-44ea-8520-da12af61e107"/>
    <x v="32"/>
    <x v="516"/>
    <n v="6253"/>
    <x v="110"/>
    <x v="516"/>
    <x v="85"/>
    <x v="32"/>
  </r>
  <r>
    <s v="54aeabc6-20e0-4270-8a83-06ba612cff8c"/>
    <x v="32"/>
    <x v="517"/>
    <n v="6253"/>
    <x v="63"/>
    <x v="517"/>
    <x v="41"/>
    <x v="32"/>
  </r>
  <r>
    <s v="c24dae35-b494-4d17-876c-5673c5f4858c"/>
    <x v="14"/>
    <x v="518"/>
    <n v="6253"/>
    <x v="12"/>
    <x v="518"/>
    <x v="50"/>
    <x v="14"/>
  </r>
  <r>
    <s v="ca461a73-94df-410c-b10b-f8c2be81ea26"/>
    <x v="32"/>
    <x v="519"/>
    <n v="6253"/>
    <x v="63"/>
    <x v="519"/>
    <x v="87"/>
    <x v="32"/>
  </r>
  <r>
    <s v="0880a05b-0fe1-4e9e-a825-922eecf47276"/>
    <x v="14"/>
    <x v="520"/>
    <n v="6253"/>
    <x v="104"/>
    <x v="520"/>
    <x v="87"/>
    <x v="14"/>
  </r>
  <r>
    <s v="8095a2f0-f91b-4ace-9feb-ccf01f04a387"/>
    <x v="32"/>
    <x v="521"/>
    <n v="6253"/>
    <x v="63"/>
    <x v="521"/>
    <x v="36"/>
    <x v="32"/>
  </r>
  <r>
    <s v="3caf9552-03b6-4a89-87bf-413718f10d56"/>
    <x v="32"/>
    <x v="522"/>
    <n v="6253"/>
    <x v="110"/>
    <x v="522"/>
    <x v="36"/>
    <x v="32"/>
  </r>
  <r>
    <s v="248cf76a-a70a-46ea-8491-f2c425f1361f"/>
    <x v="14"/>
    <x v="523"/>
    <n v="6253"/>
    <x v="111"/>
    <x v="523"/>
    <x v="36"/>
    <x v="14"/>
  </r>
  <r>
    <s v="28b1dbfd-3a59-4e5a-ad88-b885f00c9cb8"/>
    <x v="32"/>
    <x v="524"/>
    <n v="6253"/>
    <x v="110"/>
    <x v="524"/>
    <x v="52"/>
    <x v="32"/>
  </r>
  <r>
    <s v="9e6bf04f-06f2-4f2e-aff8-646e54d311d3"/>
    <x v="32"/>
    <x v="525"/>
    <n v="6253"/>
    <x v="63"/>
    <x v="525"/>
    <x v="35"/>
    <x v="32"/>
  </r>
  <r>
    <s v="c0a85dd5-a4c6-4577-9d61-10b34e986231"/>
    <x v="26"/>
    <x v="526"/>
    <n v="6253"/>
    <x v="112"/>
    <x v="526"/>
    <x v="8"/>
    <x v="26"/>
  </r>
  <r>
    <s v="eebc8fb4-caa2-4692-913c-c821f3ff9378"/>
    <x v="0"/>
    <x v="527"/>
    <n v="88682"/>
    <x v="0"/>
    <x v="527"/>
    <x v="0"/>
    <x v="0"/>
  </r>
  <r>
    <s v="deb64e5e-0690-4b10-b929-d4d4c9fc6c25"/>
    <x v="32"/>
    <x v="528"/>
    <n v="6253"/>
    <x v="113"/>
    <x v="528"/>
    <x v="25"/>
    <x v="32"/>
  </r>
  <r>
    <s v="2432df29-991f-4b01-b23f-48b5d7b17071"/>
    <x v="23"/>
    <x v="529"/>
    <n v="0"/>
    <x v="27"/>
    <x v="529"/>
    <x v="16"/>
    <x v="23"/>
  </r>
  <r>
    <s v="6414027e-3d16-40db-b546-5718b66a52be"/>
    <x v="9"/>
    <x v="530"/>
    <n v="6253"/>
    <x v="27"/>
    <x v="530"/>
    <x v="16"/>
    <x v="9"/>
  </r>
  <r>
    <s v="4674bfad-3110-4877-9eb0-ba1cab19cfac"/>
    <x v="23"/>
    <x v="531"/>
    <n v="135"/>
    <x v="27"/>
    <x v="531"/>
    <x v="16"/>
    <x v="23"/>
  </r>
  <r>
    <s v="74572c78-de20-41c8-ac2a-e3691c2a5d65"/>
    <x v="26"/>
    <x v="532"/>
    <n v="6253"/>
    <x v="20"/>
    <x v="532"/>
    <x v="16"/>
    <x v="26"/>
  </r>
  <r>
    <s v="1ec1392a-e7b4-438a-b85a-6ed545735340"/>
    <x v="32"/>
    <x v="533"/>
    <n v="6253"/>
    <x v="113"/>
    <x v="533"/>
    <x v="16"/>
    <x v="32"/>
  </r>
  <r>
    <s v="71cf3096-9cca-4f30-a014-6a1c476468aa"/>
    <x v="0"/>
    <x v="534"/>
    <n v="88709"/>
    <x v="0"/>
    <x v="534"/>
    <x v="7"/>
    <x v="0"/>
  </r>
  <r>
    <s v="fa2c041d-64a5-495b-aa45-ff6d7153e779"/>
    <x v="26"/>
    <x v="535"/>
    <n v="6253"/>
    <x v="114"/>
    <x v="535"/>
    <x v="10"/>
    <x v="26"/>
  </r>
  <r>
    <s v="27fe8a4d-943b-4b05-a7b6-9ed44839442d"/>
    <x v="26"/>
    <x v="536"/>
    <n v="6253"/>
    <x v="115"/>
    <x v="536"/>
    <x v="20"/>
    <x v="26"/>
  </r>
  <r>
    <s v="54323fae-960e-4729-8fc7-aa82d84355a1"/>
    <x v="32"/>
    <x v="537"/>
    <n v="6253"/>
    <x v="113"/>
    <x v="537"/>
    <x v="20"/>
    <x v="32"/>
  </r>
  <r>
    <s v="638e2316-45ad-458a-9887-a63d657ce694"/>
    <x v="26"/>
    <x v="538"/>
    <n v="6253"/>
    <x v="115"/>
    <x v="538"/>
    <x v="20"/>
    <x v="26"/>
  </r>
  <r>
    <s v="7b1d0e2a-dec1-4646-bb00-c6c0b6b82ef6"/>
    <x v="9"/>
    <x v="539"/>
    <n v="6253"/>
    <x v="27"/>
    <x v="539"/>
    <x v="28"/>
    <x v="9"/>
  </r>
  <r>
    <s v="3680a492-f8ba-4fb3-8f16-0b4924ad0936"/>
    <x v="0"/>
    <x v="540"/>
    <n v="6253"/>
    <x v="0"/>
    <x v="540"/>
    <x v="28"/>
    <x v="0"/>
  </r>
  <r>
    <s v="0291beb9-389f-4fa6-96e3-f2084ad72ce3"/>
    <x v="32"/>
    <x v="541"/>
    <n v="6253"/>
    <x v="113"/>
    <x v="541"/>
    <x v="11"/>
    <x v="32"/>
  </r>
  <r>
    <s v="2cf02976-5540-4ffc-adeb-4c1e478f43d9"/>
    <x v="26"/>
    <x v="542"/>
    <n v="6253"/>
    <x v="115"/>
    <x v="542"/>
    <x v="37"/>
    <x v="26"/>
  </r>
  <r>
    <s v="fc18c006-38f6-4e3f-9d14-fbdc2ce6e694"/>
    <x v="9"/>
    <x v="543"/>
    <n v="6253"/>
    <x v="27"/>
    <x v="543"/>
    <x v="29"/>
    <x v="9"/>
  </r>
  <r>
    <s v="e1e65260-25e1-432f-82ba-01b9541bec25"/>
    <x v="9"/>
    <x v="544"/>
    <n v="6253"/>
    <x v="27"/>
    <x v="544"/>
    <x v="30"/>
    <x v="9"/>
  </r>
  <r>
    <s v="1d39be3e-175f-449a-b368-e50adbbb64f4"/>
    <x v="32"/>
    <x v="545"/>
    <n v="6253"/>
    <x v="113"/>
    <x v="545"/>
    <x v="32"/>
    <x v="32"/>
  </r>
  <r>
    <s v="3d877a2e-ac49-40cf-b2bc-b80809eafe59"/>
    <x v="9"/>
    <x v="546"/>
    <n v="6253"/>
    <x v="27"/>
    <x v="546"/>
    <x v="40"/>
    <x v="9"/>
  </r>
  <r>
    <s v="eeb376d8-0c22-4cce-aea3-21df70bcdbe7"/>
    <x v="32"/>
    <x v="547"/>
    <n v="6253"/>
    <x v="113"/>
    <x v="547"/>
    <x v="9"/>
    <x v="32"/>
  </r>
  <r>
    <s v="60cd739f-9ee3-430c-8da6-c28c750aa861"/>
    <x v="32"/>
    <x v="548"/>
    <n v="6253"/>
    <x v="113"/>
    <x v="548"/>
    <x v="33"/>
    <x v="32"/>
  </r>
  <r>
    <s v="56424d45-ad85-4d65-8508-fbc4340562ee"/>
    <x v="0"/>
    <x v="549"/>
    <n v="90330"/>
    <x v="0"/>
    <x v="549"/>
    <x v="21"/>
    <x v="0"/>
  </r>
  <r>
    <s v="f27545fb-0faa-4919-b136-9fca1e5701da"/>
    <x v="14"/>
    <x v="550"/>
    <n v="6253"/>
    <x v="116"/>
    <x v="550"/>
    <x v="1"/>
    <x v="14"/>
  </r>
  <r>
    <s v="7cb7fff3-4b88-4a31-b1ac-26d7b01ec93c"/>
    <x v="14"/>
    <x v="551"/>
    <n v="6253"/>
    <x v="117"/>
    <x v="551"/>
    <x v="6"/>
    <x v="14"/>
  </r>
  <r>
    <s v="f9316ae7-adf8-42c2-87fb-4768724d4d22"/>
    <x v="0"/>
    <x v="552"/>
    <n v="6253"/>
    <x v="118"/>
    <x v="552"/>
    <x v="46"/>
    <x v="0"/>
  </r>
  <r>
    <s v="c12089ff-9fd2-4dff-946f-e1912a980c42"/>
    <x v="26"/>
    <x v="553"/>
    <n v="6253"/>
    <x v="115"/>
    <x v="553"/>
    <x v="81"/>
    <x v="26"/>
  </r>
  <r>
    <s v="bbc97006-aaf3-458b-ae38-90996f8bea86"/>
    <x v="26"/>
    <x v="554"/>
    <n v="6253"/>
    <x v="119"/>
    <x v="554"/>
    <x v="81"/>
    <x v="26"/>
  </r>
  <r>
    <s v="c09d6bbd-5f33-4197-a5ce-0121b728580b"/>
    <x v="32"/>
    <x v="555"/>
    <n v="6253"/>
    <x v="113"/>
    <x v="555"/>
    <x v="34"/>
    <x v="32"/>
  </r>
  <r>
    <s v="ba0e97d8-776a-4aae-89d9-fcc9797b9909"/>
    <x v="36"/>
    <x v="556"/>
    <n v="6253"/>
    <x v="120"/>
    <x v="556"/>
    <x v="62"/>
    <x v="36"/>
  </r>
  <r>
    <s v="cd5d5e2e-6f27-4cfc-b27a-0f616e3ad715"/>
    <x v="36"/>
    <x v="557"/>
    <n v="6253"/>
    <x v="120"/>
    <x v="557"/>
    <x v="62"/>
    <x v="36"/>
  </r>
  <r>
    <s v="52d5652a-8d5a-4eda-b8e6-b893ec704244"/>
    <x v="26"/>
    <x v="558"/>
    <n v="6253"/>
    <x v="121"/>
    <x v="558"/>
    <x v="8"/>
    <x v="26"/>
  </r>
  <r>
    <s v="cac9f3c6-a87f-4feb-b086-9c8dcf9f60bf"/>
    <x v="0"/>
    <x v="559"/>
    <n v="90409"/>
    <x v="0"/>
    <x v="559"/>
    <x v="8"/>
    <x v="0"/>
  </r>
  <r>
    <s v="e2b234be-2651-40b7-8301-f27116967c0e"/>
    <x v="36"/>
    <x v="560"/>
    <n v="6253"/>
    <x v="122"/>
    <x v="560"/>
    <x v="7"/>
    <x v="36"/>
  </r>
  <r>
    <s v="3a312b53-0b63-46a8-a6d7-5b2371de2e78"/>
    <x v="0"/>
    <x v="561"/>
    <n v="90497"/>
    <x v="0"/>
    <x v="561"/>
    <x v="4"/>
    <x v="0"/>
  </r>
  <r>
    <s v="25090e80-38af-4c17-8984-2ef1f0807ddb"/>
    <x v="33"/>
    <x v="562"/>
    <n v="6257"/>
    <x v="75"/>
    <x v="562"/>
    <x v="69"/>
    <x v="33"/>
  </r>
  <r>
    <s v="48dc6b40-5f66-40e5-80d7-7f36c4eab8d7"/>
    <x v="24"/>
    <x v="563"/>
    <n v="90552"/>
    <x v="41"/>
    <x v="563"/>
    <x v="34"/>
    <x v="24"/>
  </r>
  <r>
    <s v="1c690599-cca4-4f90-9fb0-e391b19d2f78"/>
    <x v="24"/>
    <x v="564"/>
    <n v="90552"/>
    <x v="41"/>
    <x v="564"/>
    <x v="39"/>
    <x v="24"/>
  </r>
  <r>
    <s v="8d7af02f-b6b1-4a1b-b081-793d8b257cd4"/>
    <x v="24"/>
    <x v="565"/>
    <n v="6257"/>
    <x v="12"/>
    <x v="565"/>
    <x v="42"/>
    <x v="24"/>
  </r>
  <r>
    <s v="f1034bfe-d312-4967-b0af-9d1af6fe6b08"/>
    <x v="0"/>
    <x v="566"/>
    <n v="90593"/>
    <x v="0"/>
    <x v="566"/>
    <x v="25"/>
    <x v="0"/>
  </r>
  <r>
    <s v="0519aa1f-5bf1-45a5-9f56-652ebc20fc2d"/>
    <x v="0"/>
    <x v="567"/>
    <n v="90612"/>
    <x v="11"/>
    <x v="567"/>
    <x v="30"/>
    <x v="0"/>
  </r>
  <r>
    <s v="28c2d386-cc6c-4a18-9010-759aa93da319"/>
    <x v="4"/>
    <x v="568"/>
    <n v="6252"/>
    <x v="1"/>
    <x v="568"/>
    <x v="31"/>
    <x v="4"/>
  </r>
  <r>
    <s v="dd66ed8e-f5be-4395-967d-26638bfc2c12"/>
    <x v="4"/>
    <x v="569"/>
    <n v="6252"/>
    <x v="1"/>
    <x v="569"/>
    <x v="21"/>
    <x v="4"/>
  </r>
  <r>
    <s v="c6a6508c-a06b-4db3-9c1d-6893fb943b48"/>
    <x v="0"/>
    <x v="570"/>
    <n v="6252"/>
    <x v="27"/>
    <x v="570"/>
    <x v="21"/>
    <x v="0"/>
  </r>
  <r>
    <s v="9012b73b-785c-44ee-864a-dc5369caed08"/>
    <x v="19"/>
    <x v="571"/>
    <n v="90511"/>
    <x v="24"/>
    <x v="571"/>
    <x v="14"/>
    <x v="19"/>
  </r>
  <r>
    <s v="3211c96e-4b6b-4347-9028-10978c4c3343"/>
    <x v="0"/>
    <x v="572"/>
    <n v="6252"/>
    <x v="27"/>
    <x v="572"/>
    <x v="14"/>
    <x v="0"/>
  </r>
  <r>
    <s v="c1c5b9dd-09ff-455a-8355-3ef03b08dd81"/>
    <x v="4"/>
    <x v="573"/>
    <n v="6252"/>
    <x v="1"/>
    <x v="573"/>
    <x v="77"/>
    <x v="4"/>
  </r>
  <r>
    <s v="b37e744c-5cc9-40ca-b5c5-dfad92e222b9"/>
    <x v="33"/>
    <x v="574"/>
    <n v="6252"/>
    <x v="75"/>
    <x v="574"/>
    <x v="44"/>
    <x v="33"/>
  </r>
  <r>
    <s v="6bd9edc6-6552-4be6-a32b-02e3b063826d"/>
    <x v="33"/>
    <x v="575"/>
    <n v="6252"/>
    <x v="75"/>
    <x v="575"/>
    <x v="43"/>
    <x v="33"/>
  </r>
  <r>
    <s v="6f826252-2744-476f-a985-0eb16cfda9a6"/>
    <x v="33"/>
    <x v="576"/>
    <n v="6252"/>
    <x v="75"/>
    <x v="576"/>
    <x v="36"/>
    <x v="33"/>
  </r>
  <r>
    <s v="4f355877-f5ff-432b-a93c-fd31bbe64126"/>
    <x v="33"/>
    <x v="577"/>
    <n v="6252"/>
    <x v="75"/>
    <x v="577"/>
    <x v="64"/>
    <x v="33"/>
  </r>
  <r>
    <s v="fd29d808-0fc9-4bfb-8fc1-2530a1ada450"/>
    <x v="20"/>
    <x v="578"/>
    <n v="6252"/>
    <x v="12"/>
    <x v="578"/>
    <x v="64"/>
    <x v="20"/>
  </r>
  <r>
    <s v="04ce7c19-7d0b-4288-bce8-956a4b571ca8"/>
    <x v="24"/>
    <x v="579"/>
    <n v="6252"/>
    <x v="41"/>
    <x v="579"/>
    <x v="55"/>
    <x v="24"/>
  </r>
  <r>
    <s v="46c6d1bb-1b16-414a-8567-b04c00581b34"/>
    <x v="33"/>
    <x v="580"/>
    <n v="6252"/>
    <x v="75"/>
    <x v="580"/>
    <x v="91"/>
    <x v="33"/>
  </r>
  <r>
    <s v="d12beed1-c20a-40d7-9955-0a210c085833"/>
    <x v="0"/>
    <x v="581"/>
    <n v="6252"/>
    <x v="27"/>
    <x v="581"/>
    <x v="15"/>
    <x v="0"/>
  </r>
  <r>
    <s v="d055d93c-b7b4-4e15-94e3-187865b4e4ca"/>
    <x v="0"/>
    <x v="582"/>
    <n v="6138"/>
    <x v="53"/>
    <x v="582"/>
    <x v="4"/>
    <x v="0"/>
  </r>
  <r>
    <s v="573241c4-4fd0-4046-b31b-ab04d9e65360"/>
    <x v="5"/>
    <x v="583"/>
    <n v="6138"/>
    <x v="53"/>
    <x v="583"/>
    <x v="9"/>
    <x v="5"/>
  </r>
  <r>
    <s v="7b3aac63-ec59-4a2f-b6ef-2574ecb64803"/>
    <x v="0"/>
    <x v="584"/>
    <n v="6138"/>
    <x v="53"/>
    <x v="584"/>
    <x v="3"/>
    <x v="0"/>
  </r>
  <r>
    <s v="d134da32-525d-4de9-a2e6-648ecaa98a15"/>
    <x v="0"/>
    <x v="585"/>
    <n v="6138"/>
    <x v="53"/>
    <x v="585"/>
    <x v="77"/>
    <x v="0"/>
  </r>
  <r>
    <s v="a3609426-df4d-4ca4-92bc-5421c6ca8ed5"/>
    <x v="4"/>
    <x v="586"/>
    <n v="6138"/>
    <x v="1"/>
    <x v="586"/>
    <x v="1"/>
    <x v="4"/>
  </r>
  <r>
    <s v="3598e6fe-9664-4a10-8d93-a204b8cdb47b"/>
    <x v="24"/>
    <x v="587"/>
    <n v="6138"/>
    <x v="41"/>
    <x v="587"/>
    <x v="84"/>
    <x v="24"/>
  </r>
  <r>
    <s v="68caaff0-3cdc-43e9-8dbd-06bce20d9c51"/>
    <x v="24"/>
    <x v="588"/>
    <n v="6138"/>
    <x v="41"/>
    <x v="588"/>
    <x v="81"/>
    <x v="24"/>
  </r>
  <r>
    <s v="83d5f91f-cbeb-4872-903e-8f6d9c1ac0c7"/>
    <x v="33"/>
    <x v="589"/>
    <n v="6138"/>
    <x v="75"/>
    <x v="589"/>
    <x v="78"/>
    <x v="33"/>
  </r>
  <r>
    <s v="d635803e-fefd-4061-bb3a-fabf91b49277"/>
    <x v="0"/>
    <x v="590"/>
    <n v="6138"/>
    <x v="53"/>
    <x v="590"/>
    <x v="85"/>
    <x v="0"/>
  </r>
  <r>
    <s v="7ce86f9d-ca3c-487e-8094-6884d6dfe5f2"/>
    <x v="24"/>
    <x v="591"/>
    <n v="6138"/>
    <x v="41"/>
    <x v="591"/>
    <x v="18"/>
    <x v="24"/>
  </r>
  <r>
    <s v="76c99f65-3a4c-4436-8b1f-e1ba25211111"/>
    <x v="24"/>
    <x v="592"/>
    <n v="6138"/>
    <x v="75"/>
    <x v="592"/>
    <x v="36"/>
    <x v="24"/>
  </r>
  <r>
    <s v="b5677bd9-f4de-4387-b8a6-7329470bce04"/>
    <x v="24"/>
    <x v="593"/>
    <n v="6138"/>
    <x v="41"/>
    <x v="593"/>
    <x v="51"/>
    <x v="24"/>
  </r>
  <r>
    <s v="f785c02c-ebd3-4185-9835-1589d2e6a9b0"/>
    <x v="24"/>
    <x v="594"/>
    <n v="6138"/>
    <x v="41"/>
    <x v="594"/>
    <x v="80"/>
    <x v="24"/>
  </r>
  <r>
    <s v="1ef28391-66c3-4ec1-b8c4-a4e927654b5b"/>
    <x v="33"/>
    <x v="595"/>
    <n v="89830"/>
    <x v="20"/>
    <x v="595"/>
    <x v="54"/>
    <x v="33"/>
  </r>
  <r>
    <s v="5c420413-7b22-4175-b5ff-744c6efe2cc5"/>
    <x v="0"/>
    <x v="596"/>
    <n v="6136"/>
    <x v="123"/>
    <x v="596"/>
    <x v="15"/>
    <x v="0"/>
  </r>
  <r>
    <s v="dad0e2e2-3412-41af-8a19-a9fd5d2c4a6e"/>
    <x v="0"/>
    <x v="597"/>
    <n v="6141"/>
    <x v="53"/>
    <x v="597"/>
    <x v="10"/>
    <x v="0"/>
  </r>
  <r>
    <s v="765e8645-6379-4dec-9cd6-aea7ece98cc5"/>
    <x v="0"/>
    <x v="598"/>
    <n v="134"/>
    <x v="53"/>
    <x v="598"/>
    <x v="26"/>
    <x v="0"/>
  </r>
  <r>
    <s v="3ac509eb-2128-440e-8ef4-98d51523b1ad"/>
    <x v="21"/>
    <x v="599"/>
    <n v="6138"/>
    <x v="4"/>
    <x v="599"/>
    <x v="40"/>
    <x v="21"/>
  </r>
  <r>
    <s v="c71cff4d-1bbb-4530-8b86-a39e45380c1e"/>
    <x v="33"/>
    <x v="600"/>
    <n v="6139"/>
    <x v="75"/>
    <x v="600"/>
    <x v="39"/>
    <x v="33"/>
  </r>
  <r>
    <s v="454f78ee-fdbd-4d92-8590-8f3ce0dd08d0"/>
    <x v="33"/>
    <x v="601"/>
    <n v="6139"/>
    <x v="75"/>
    <x v="601"/>
    <x v="71"/>
    <x v="33"/>
  </r>
  <r>
    <s v="ee4024c6-b42b-4d4e-8eb4-9c11d29d4b1c"/>
    <x v="0"/>
    <x v="602"/>
    <n v="1"/>
    <x v="53"/>
    <x v="602"/>
    <x v="19"/>
    <x v="0"/>
  </r>
  <r>
    <s v="412d9f1d-45c6-4a91-9205-6686135ca9c0"/>
    <x v="0"/>
    <x v="603"/>
    <n v="7046"/>
    <x v="124"/>
    <x v="603"/>
    <x v="20"/>
    <x v="0"/>
  </r>
  <r>
    <s v="80bf16d8-fcad-4eed-b3f4-1e622012907d"/>
    <x v="0"/>
    <x v="604"/>
    <n v="7046"/>
    <x v="124"/>
    <x v="604"/>
    <x v="26"/>
    <x v="0"/>
  </r>
  <r>
    <s v="e4c9d478-3981-40fa-8227-f86c901cc8c1"/>
    <x v="0"/>
    <x v="605"/>
    <n v="3"/>
    <x v="124"/>
    <x v="605"/>
    <x v="31"/>
    <x v="0"/>
  </r>
  <r>
    <s v="960c951f-aebb-4195-bb09-e89a104124b7"/>
    <x v="14"/>
    <x v="606"/>
    <n v="7042"/>
    <x v="125"/>
    <x v="606"/>
    <x v="50"/>
    <x v="14"/>
  </r>
  <r>
    <s v="c4a07f65-491b-4923-bef6-8a04eba0df50"/>
    <x v="33"/>
    <x v="607"/>
    <n v="7042"/>
    <x v="75"/>
    <x v="607"/>
    <x v="52"/>
    <x v="33"/>
  </r>
  <r>
    <s v="86029734-e029-4071-b353-3569cf72e8d5"/>
    <x v="14"/>
    <x v="608"/>
    <n v="7042"/>
    <x v="125"/>
    <x v="608"/>
    <x v="65"/>
    <x v="14"/>
  </r>
  <r>
    <s v="ba7f98b1-7492-4cd4-af66-c73c79784418"/>
    <x v="0"/>
    <x v="609"/>
    <n v="0"/>
    <x v="0"/>
    <x v="609"/>
    <x v="62"/>
    <x v="0"/>
  </r>
  <r>
    <s v="63c745e4-258c-4f80-86f2-70ee0fa35174"/>
    <x v="0"/>
    <x v="610"/>
    <n v="7041"/>
    <x v="4"/>
    <x v="610"/>
    <x v="2"/>
    <x v="0"/>
  </r>
  <r>
    <s v="eb3f1bab-f375-4c1d-bb51-f31056a4a812"/>
    <x v="0"/>
    <x v="611"/>
    <n v="7041"/>
    <x v="11"/>
    <x v="611"/>
    <x v="21"/>
    <x v="0"/>
  </r>
  <r>
    <s v="cca9471d-1559-4aa2-9a06-5e26c9fc690e"/>
    <x v="14"/>
    <x v="612"/>
    <n v="7041"/>
    <x v="11"/>
    <x v="612"/>
    <x v="44"/>
    <x v="14"/>
  </r>
  <r>
    <s v="8b6da354-bca8-4409-b6f3-d81c41a7684f"/>
    <x v="33"/>
    <x v="613"/>
    <n v="7041"/>
    <x v="75"/>
    <x v="613"/>
    <x v="0"/>
    <x v="33"/>
  </r>
  <r>
    <s v="2bb321bc-77fa-4bae-a96c-e90f90ba9f29"/>
    <x v="33"/>
    <x v="614"/>
    <n v="7043"/>
    <x v="75"/>
    <x v="614"/>
    <x v="37"/>
    <x v="33"/>
  </r>
  <r>
    <s v="5a54bb53-5176-47a0-bb4f-1a85dfa78edc"/>
    <x v="35"/>
    <x v="615"/>
    <n v="7043"/>
    <x v="20"/>
    <x v="615"/>
    <x v="67"/>
    <x v="35"/>
  </r>
  <r>
    <s v="546657cf-7ad6-4fdf-b1e5-1ecfdeacfda1"/>
    <x v="35"/>
    <x v="616"/>
    <n v="7043"/>
    <x v="20"/>
    <x v="616"/>
    <x v="39"/>
    <x v="35"/>
  </r>
  <r>
    <s v="f11408fa-805b-48c8-8a2e-8ef070583bcd"/>
    <x v="20"/>
    <x v="617"/>
    <n v="7043"/>
    <x v="62"/>
    <x v="617"/>
    <x v="75"/>
    <x v="20"/>
  </r>
  <r>
    <s v="a9c6ebb2-4856-4092-b908-e7f2353a38c6"/>
    <x v="20"/>
    <x v="618"/>
    <n v="7043"/>
    <x v="12"/>
    <x v="618"/>
    <x v="75"/>
    <x v="20"/>
  </r>
  <r>
    <s v="b49b1b96-5858-4a05-b358-c71617961d72"/>
    <x v="35"/>
    <x v="619"/>
    <n v="7043"/>
    <x v="20"/>
    <x v="619"/>
    <x v="65"/>
    <x v="35"/>
  </r>
  <r>
    <s v="2029119b-6505-4133-8452-6046abb5b56d"/>
    <x v="6"/>
    <x v="620"/>
    <n v="7043"/>
    <x v="126"/>
    <x v="620"/>
    <x v="56"/>
    <x v="6"/>
  </r>
  <r>
    <s v="41847c71-d8ce-4e78-810b-15170713553f"/>
    <x v="6"/>
    <x v="621"/>
    <n v="7043"/>
    <x v="127"/>
    <x v="621"/>
    <x v="57"/>
    <x v="6"/>
  </r>
  <r>
    <s v="54bba211-4209-4529-b8f4-b54b1ce364cd"/>
    <x v="6"/>
    <x v="622"/>
    <n v="7043"/>
    <x v="128"/>
    <x v="622"/>
    <x v="57"/>
    <x v="6"/>
  </r>
  <r>
    <s v="ae0e7018-b889-4567-b96e-5678261b60a6"/>
    <x v="24"/>
    <x v="623"/>
    <n v="7043"/>
    <x v="12"/>
    <x v="623"/>
    <x v="50"/>
    <x v="24"/>
  </r>
  <r>
    <s v="df2bcb37-4145-42dc-8a48-ed4d9c52e399"/>
    <x v="35"/>
    <x v="624"/>
    <n v="7043"/>
    <x v="20"/>
    <x v="624"/>
    <x v="39"/>
    <x v="35"/>
  </r>
  <r>
    <s v="2dc36ca9-9913-4d75-b33d-8cffa26974d1"/>
    <x v="24"/>
    <x v="625"/>
    <n v="7043"/>
    <x v="12"/>
    <x v="625"/>
    <x v="91"/>
    <x v="24"/>
  </r>
  <r>
    <s v="97ca6116-46a8-4548-bda0-ffe88b95f5a3"/>
    <x v="33"/>
    <x v="626"/>
    <n v="7043"/>
    <x v="75"/>
    <x v="626"/>
    <x v="0"/>
    <x v="33"/>
  </r>
  <r>
    <s v="390fec69-f261-47ca-bb24-d2715ec1f3e0"/>
    <x v="0"/>
    <x v="627"/>
    <n v="7045"/>
    <x v="11"/>
    <x v="627"/>
    <x v="20"/>
    <x v="0"/>
  </r>
  <r>
    <s v="e629c055-6085-47b2-9a0b-b20443f96a74"/>
    <x v="0"/>
    <x v="628"/>
    <n v="7045"/>
    <x v="0"/>
    <x v="628"/>
    <x v="20"/>
    <x v="0"/>
  </r>
  <r>
    <s v="1b3ad3be-8e7f-48bc-9608-945871eede23"/>
    <x v="0"/>
    <x v="629"/>
    <n v="7045"/>
    <x v="0"/>
    <x v="629"/>
    <x v="26"/>
    <x v="0"/>
  </r>
  <r>
    <s v="909c873b-481a-4f4d-afa0-aa11c5c578c6"/>
    <x v="21"/>
    <x v="630"/>
    <n v="7041"/>
    <x v="4"/>
    <x v="630"/>
    <x v="4"/>
    <x v="21"/>
  </r>
  <r>
    <s v="72e6be96-8d50-443a-9d9f-ef3afdd9a6f1"/>
    <x v="37"/>
    <x v="631"/>
    <n v="0"/>
    <x v="0"/>
    <x v="631"/>
    <x v="48"/>
    <x v="37"/>
  </r>
  <r>
    <s v="3d64cd52-ea51-4644-8618-b6a2d3917d78"/>
    <x v="37"/>
    <x v="632"/>
    <n v="7042"/>
    <x v="129"/>
    <x v="632"/>
    <x v="48"/>
    <x v="37"/>
  </r>
  <r>
    <s v="ea93af43-40d4-4a30-832e-13e8a6e9d249"/>
    <x v="35"/>
    <x v="633"/>
    <n v="7056"/>
    <x v="20"/>
    <x v="633"/>
    <x v="49"/>
    <x v="35"/>
  </r>
  <r>
    <s v="ec2f7afd-eac5-4889-bc4f-45ac206a1ef6"/>
    <x v="35"/>
    <x v="634"/>
    <n v="7056"/>
    <x v="20"/>
    <x v="634"/>
    <x v="85"/>
    <x v="35"/>
  </r>
  <r>
    <s v="a78dd4db-4b87-4977-9af0-de02882b68d7"/>
    <x v="24"/>
    <x v="635"/>
    <n v="7042"/>
    <x v="25"/>
    <x v="635"/>
    <x v="18"/>
    <x v="24"/>
  </r>
  <r>
    <s v="285b84b1-72f8-47a5-9aa9-f7a135bd2176"/>
    <x v="15"/>
    <x v="636"/>
    <n v="0"/>
    <x v="130"/>
    <x v="636"/>
    <x v="18"/>
    <x v="15"/>
  </r>
  <r>
    <s v="daafc75e-c5a4-41aa-b1aa-5cdcd91e318e"/>
    <x v="15"/>
    <x v="637"/>
    <n v="7042"/>
    <x v="131"/>
    <x v="637"/>
    <x v="18"/>
    <x v="15"/>
  </r>
  <r>
    <s v="56a111c2-2d82-403b-8a2f-eb9458440d7c"/>
    <x v="15"/>
    <x v="638"/>
    <n v="7042"/>
    <x v="131"/>
    <x v="638"/>
    <x v="69"/>
    <x v="15"/>
  </r>
  <r>
    <s v="ea1b139b-2c1d-4d17-a0a2-e3ad50ce8075"/>
    <x v="24"/>
    <x v="639"/>
    <n v="7042"/>
    <x v="12"/>
    <x v="639"/>
    <x v="69"/>
    <x v="24"/>
  </r>
  <r>
    <s v="6ebd8871-316d-4fc9-b0aa-0f7f42d5bcec"/>
    <x v="24"/>
    <x v="640"/>
    <n v="7042"/>
    <x v="12"/>
    <x v="640"/>
    <x v="80"/>
    <x v="24"/>
  </r>
  <r>
    <s v="22e6184b-2271-46cd-b9be-9e48825e9fa3"/>
    <x v="24"/>
    <x v="641"/>
    <n v="7042"/>
    <x v="12"/>
    <x v="641"/>
    <x v="39"/>
    <x v="24"/>
  </r>
  <r>
    <s v="d7718d29-e30c-4aa3-9841-65dc738f5c06"/>
    <x v="33"/>
    <x v="642"/>
    <n v="7045"/>
    <x v="75"/>
    <x v="642"/>
    <x v="13"/>
    <x v="33"/>
  </r>
  <r>
    <s v="6f4dc9f8-48b9-4e2e-b6f8-d82d217f71cd"/>
    <x v="15"/>
    <x v="643"/>
    <n v="0"/>
    <x v="132"/>
    <x v="643"/>
    <x v="46"/>
    <x v="15"/>
  </r>
  <r>
    <s v="9de2ceb7-077e-4d17-ac4b-31159b6f64cb"/>
    <x v="15"/>
    <x v="644"/>
    <n v="7047"/>
    <x v="132"/>
    <x v="644"/>
    <x v="46"/>
    <x v="15"/>
  </r>
  <r>
    <s v="cfd0c51e-a960-4a3f-8d19-2cba132ec432"/>
    <x v="15"/>
    <x v="645"/>
    <n v="7047"/>
    <x v="132"/>
    <x v="645"/>
    <x v="47"/>
    <x v="15"/>
  </r>
  <r>
    <s v="af6f6a7a-0eec-4323-9cea-20b88b1e02d4"/>
    <x v="33"/>
    <x v="646"/>
    <n v="7047"/>
    <x v="75"/>
    <x v="646"/>
    <x v="52"/>
    <x v="33"/>
  </r>
  <r>
    <s v="01538b5d-4c04-48b7-84d6-195cf1d3ccf3"/>
    <x v="33"/>
    <x v="647"/>
    <n v="7047"/>
    <x v="75"/>
    <x v="647"/>
    <x v="76"/>
    <x v="33"/>
  </r>
  <r>
    <s v="362ac231-dc25-48a9-aa86-513bbeba5ce5"/>
    <x v="33"/>
    <x v="648"/>
    <n v="7047"/>
    <x v="75"/>
    <x v="648"/>
    <x v="22"/>
    <x v="33"/>
  </r>
  <r>
    <s v="f6ccc342-cc82-405b-8bea-0626ed66b366"/>
    <x v="33"/>
    <x v="649"/>
    <n v="7047"/>
    <x v="75"/>
    <x v="649"/>
    <x v="72"/>
    <x v="33"/>
  </r>
  <r>
    <s v="5b3c413b-d338-49ab-9629-2e88b97b1468"/>
    <x v="33"/>
    <x v="650"/>
    <n v="7006"/>
    <x v="75"/>
    <x v="650"/>
    <x v="21"/>
    <x v="33"/>
  </r>
  <r>
    <s v="b368c186-28b6-4a30-a145-b76b93faac2a"/>
    <x v="33"/>
    <x v="651"/>
    <n v="91617"/>
    <x v="75"/>
    <x v="651"/>
    <x v="73"/>
    <x v="33"/>
  </r>
  <r>
    <s v="ce2a3f99-2d21-455b-bf00-845cafd264cc"/>
    <x v="0"/>
    <x v="652"/>
    <n v="7006"/>
    <x v="133"/>
    <x v="652"/>
    <x v="73"/>
    <x v="0"/>
  </r>
  <r>
    <s v="f69d2878-2b2c-4efb-8111-cb6d5a4710c1"/>
    <x v="33"/>
    <x v="653"/>
    <n v="7006"/>
    <x v="75"/>
    <x v="653"/>
    <x v="34"/>
    <x v="33"/>
  </r>
  <r>
    <s v="09a17e70-bfb8-4d46-bf25-6286979e1c68"/>
    <x v="33"/>
    <x v="654"/>
    <n v="7006"/>
    <x v="75"/>
    <x v="654"/>
    <x v="76"/>
    <x v="33"/>
  </r>
  <r>
    <s v="f59bfa03-f271-4167-99c4-4f6f50855e9c"/>
    <x v="33"/>
    <x v="655"/>
    <n v="7006"/>
    <x v="75"/>
    <x v="655"/>
    <x v="39"/>
    <x v="33"/>
  </r>
  <r>
    <s v="0a1b2ce3-a51b-432e-bc6e-cd9b86192396"/>
    <x v="24"/>
    <x v="656"/>
    <n v="7006"/>
    <x v="77"/>
    <x v="656"/>
    <x v="39"/>
    <x v="24"/>
  </r>
  <r>
    <s v="8cac9aa6-6a6f-4426-af71-44be86ef165b"/>
    <x v="24"/>
    <x v="657"/>
    <n v="7006"/>
    <x v="77"/>
    <x v="657"/>
    <x v="54"/>
    <x v="24"/>
  </r>
  <r>
    <s v="c03fcbdd-5bf3-46d9-9621-bc7abf2b7ced"/>
    <x v="33"/>
    <x v="658"/>
    <n v="7006"/>
    <x v="75"/>
    <x v="658"/>
    <x v="22"/>
    <x v="33"/>
  </r>
  <r>
    <s v="45ed1a5e-0b09-41fd-afb4-bb6a2c2f0752"/>
    <x v="24"/>
    <x v="659"/>
    <n v="7006"/>
    <x v="77"/>
    <x v="659"/>
    <x v="55"/>
    <x v="24"/>
  </r>
  <r>
    <s v="56832659-f9c7-4ee0-8f78-e0629d2b4902"/>
    <x v="33"/>
    <x v="660"/>
    <n v="91620"/>
    <x v="75"/>
    <x v="660"/>
    <x v="71"/>
    <x v="33"/>
  </r>
  <r>
    <s v="1e9dfce1-201b-44e6-9673-777c178c2a9d"/>
    <x v="24"/>
    <x v="661"/>
    <n v="7006"/>
    <x v="12"/>
    <x v="661"/>
    <x v="83"/>
    <x v="24"/>
  </r>
  <r>
    <s v="71d30475-d185-47db-b999-6a854649d6a1"/>
    <x v="24"/>
    <x v="662"/>
    <n v="7005"/>
    <x v="12"/>
    <x v="662"/>
    <x v="59"/>
    <x v="24"/>
  </r>
  <r>
    <s v="3cef2e6c-8db6-45c8-9e7a-3b62c168d04e"/>
    <x v="10"/>
    <x v="663"/>
    <n v="7005"/>
    <x v="134"/>
    <x v="663"/>
    <x v="23"/>
    <x v="10"/>
  </r>
  <r>
    <s v="23d704ee-8935-44f6-91f8-bee968586a5b"/>
    <x v="0"/>
    <x v="664"/>
    <n v="7005"/>
    <x v="0"/>
    <x v="664"/>
    <x v="15"/>
    <x v="0"/>
  </r>
  <r>
    <s v="5e43efd4-7a1b-43d3-9fe7-008aa2de0094"/>
    <x v="32"/>
    <x v="665"/>
    <n v="7004"/>
    <x v="63"/>
    <x v="665"/>
    <x v="8"/>
    <x v="32"/>
  </r>
  <r>
    <s v="d39b6be3-6b82-4e9f-9dc7-7d26e537c843"/>
    <x v="26"/>
    <x v="666"/>
    <n v="7004"/>
    <x v="112"/>
    <x v="666"/>
    <x v="8"/>
    <x v="26"/>
  </r>
  <r>
    <s v="c25df3d9-c96a-4474-b8e0-b2aa8a5a300f"/>
    <x v="0"/>
    <x v="667"/>
    <n v="7005"/>
    <x v="100"/>
    <x v="667"/>
    <x v="0"/>
    <x v="0"/>
  </r>
  <r>
    <s v="d4ee5a90-10b6-4dee-815b-2ceeca53b623"/>
    <x v="0"/>
    <x v="668"/>
    <n v="7004"/>
    <x v="100"/>
    <x v="668"/>
    <x v="10"/>
    <x v="0"/>
  </r>
  <r>
    <s v="21019339-a22c-459e-8bb6-6a980dbacf49"/>
    <x v="0"/>
    <x v="669"/>
    <n v="7002"/>
    <x v="100"/>
    <x v="669"/>
    <x v="17"/>
    <x v="0"/>
  </r>
  <r>
    <s v="dcc17db9-a4e4-47c3-9a2f-27cde7e457b9"/>
    <x v="26"/>
    <x v="670"/>
    <n v="7001"/>
    <x v="135"/>
    <x v="670"/>
    <x v="11"/>
    <x v="26"/>
  </r>
  <r>
    <s v="d7fdfce0-4af2-4323-8e59-dbdfafb23d0f"/>
    <x v="0"/>
    <x v="671"/>
    <n v="7001"/>
    <x v="100"/>
    <x v="671"/>
    <x v="29"/>
    <x v="0"/>
  </r>
  <r>
    <s v="95f4c909-ebbf-4068-8df8-7d0f75031029"/>
    <x v="33"/>
    <x v="672"/>
    <n v="91808"/>
    <x v="75"/>
    <x v="672"/>
    <x v="1"/>
    <x v="33"/>
  </r>
  <r>
    <s v="710c803d-4787-4ea7-bbb9-64468eba8e05"/>
    <x v="33"/>
    <x v="673"/>
    <n v="7004"/>
    <x v="75"/>
    <x v="673"/>
    <x v="44"/>
    <x v="33"/>
  </r>
  <r>
    <s v="6c2e6377-bac9-418e-b868-691001ed00e5"/>
    <x v="33"/>
    <x v="674"/>
    <n v="7004"/>
    <x v="75"/>
    <x v="674"/>
    <x v="42"/>
    <x v="33"/>
  </r>
  <r>
    <s v="7c031ab6-2acc-4896-9186-9b201380d220"/>
    <x v="33"/>
    <x v="675"/>
    <n v="7004"/>
    <x v="75"/>
    <x v="675"/>
    <x v="90"/>
    <x v="33"/>
  </r>
  <r>
    <s v="ca53dbb6-18a3-49b9-8e55-807a3231ef6c"/>
    <x v="38"/>
    <x v="676"/>
    <n v="7004"/>
    <x v="4"/>
    <x v="676"/>
    <x v="90"/>
    <x v="38"/>
  </r>
  <r>
    <s v="e8b07d67-bc9f-4fd3-9d85-a26b4a6b8ba6"/>
    <x v="38"/>
    <x v="677"/>
    <n v="7004"/>
    <x v="4"/>
    <x v="677"/>
    <x v="76"/>
    <x v="38"/>
  </r>
  <r>
    <s v="3d73cb62-76ea-4591-b752-417342bb9d24"/>
    <x v="33"/>
    <x v="678"/>
    <n v="7004"/>
    <x v="75"/>
    <x v="678"/>
    <x v="39"/>
    <x v="33"/>
  </r>
  <r>
    <s v="d2aae2db-9486-4541-84d6-74f4e0e8bfea"/>
    <x v="0"/>
    <x v="679"/>
    <n v="6978"/>
    <x v="93"/>
    <x v="679"/>
    <x v="19"/>
    <x v="0"/>
  </r>
  <r>
    <s v="be953215-3e4e-47df-a0db-e6bb50c19de6"/>
    <x v="32"/>
    <x v="680"/>
    <n v="6983"/>
    <x v="63"/>
    <x v="680"/>
    <x v="16"/>
    <x v="32"/>
  </r>
  <r>
    <s v="6a4018fa-e850-4782-b63e-b9583097ad85"/>
    <x v="0"/>
    <x v="681"/>
    <n v="6983"/>
    <x v="93"/>
    <x v="681"/>
    <x v="16"/>
    <x v="0"/>
  </r>
  <r>
    <s v="64ab95af-2491-4b2f-bf10-1369b0c1db9b"/>
    <x v="0"/>
    <x v="682"/>
    <n v="6983"/>
    <x v="136"/>
    <x v="682"/>
    <x v="7"/>
    <x v="0"/>
  </r>
  <r>
    <s v="01f51168-23d4-4efa-bec4-e14c6982129f"/>
    <x v="32"/>
    <x v="683"/>
    <n v="6985"/>
    <x v="63"/>
    <x v="683"/>
    <x v="31"/>
    <x v="32"/>
  </r>
  <r>
    <s v="b3bee3fd-c341-4c2a-999b-c0d5ab5eaa3b"/>
    <x v="0"/>
    <x v="684"/>
    <n v="6984"/>
    <x v="0"/>
    <x v="684"/>
    <x v="13"/>
    <x v="0"/>
  </r>
  <r>
    <s v="86ee120e-076a-4b3b-bbf8-b2f152f5c402"/>
    <x v="33"/>
    <x v="685"/>
    <n v="6983"/>
    <x v="75"/>
    <x v="685"/>
    <x v="40"/>
    <x v="33"/>
  </r>
  <r>
    <s v="a4a91ba2-86a5-463a-87a5-959996edb7fd"/>
    <x v="0"/>
    <x v="686"/>
    <n v="6979"/>
    <x v="4"/>
    <x v="686"/>
    <x v="33"/>
    <x v="0"/>
  </r>
  <r>
    <s v="4d789e69-2e13-41f1-9110-ea02835cb0d7"/>
    <x v="33"/>
    <x v="687"/>
    <n v="6977"/>
    <x v="75"/>
    <x v="687"/>
    <x v="48"/>
    <x v="33"/>
  </r>
  <r>
    <s v="dd6045d3-a153-4928-b7bc-b3e3e44c042b"/>
    <x v="33"/>
    <x v="688"/>
    <n v="6977"/>
    <x v="75"/>
    <x v="688"/>
    <x v="76"/>
    <x v="33"/>
  </r>
  <r>
    <s v="d975e4d9-7592-4ab8-a246-d4c1186247df"/>
    <x v="33"/>
    <x v="689"/>
    <n v="6977"/>
    <x v="75"/>
    <x v="689"/>
    <x v="54"/>
    <x v="33"/>
  </r>
  <r>
    <s v="3d4c0262-6984-4303-84ed-ed0eaf2b2fbe"/>
    <x v="33"/>
    <x v="690"/>
    <n v="6977"/>
    <x v="75"/>
    <x v="690"/>
    <x v="54"/>
    <x v="33"/>
  </r>
  <r>
    <s v="017e3011-5150-4f70-ba1b-4f8f9e90db75"/>
    <x v="33"/>
    <x v="691"/>
    <n v="6977"/>
    <x v="75"/>
    <x v="691"/>
    <x v="88"/>
    <x v="33"/>
  </r>
  <r>
    <s v="cbb8e08d-1aea-4d42-bd12-96289028ac58"/>
    <x v="33"/>
    <x v="692"/>
    <n v="6977"/>
    <x v="75"/>
    <x v="692"/>
    <x v="92"/>
    <x v="33"/>
  </r>
  <r>
    <s v="499b1b64-cff4-4304-bea3-eeb9e0c91a74"/>
    <x v="32"/>
    <x v="693"/>
    <n v="6977"/>
    <x v="98"/>
    <x v="693"/>
    <x v="17"/>
    <x v="32"/>
  </r>
  <r>
    <s v="172a7164-7bc4-418e-b132-add6abaab3c8"/>
    <x v="32"/>
    <x v="694"/>
    <n v="6977"/>
    <x v="63"/>
    <x v="694"/>
    <x v="17"/>
    <x v="32"/>
  </r>
  <r>
    <s v="0b261c14-9aaa-49b4-ba14-bff58004bb74"/>
    <x v="0"/>
    <x v="695"/>
    <n v="6977"/>
    <x v="0"/>
    <x v="695"/>
    <x v="32"/>
    <x v="0"/>
  </r>
  <r>
    <s v="af7d2c4c-24f1-4d1c-bdb1-21f750eb774c"/>
    <x v="32"/>
    <x v="696"/>
    <n v="6977"/>
    <x v="63"/>
    <x v="696"/>
    <x v="3"/>
    <x v="32"/>
  </r>
  <r>
    <s v="ae98473f-a518-4950-8f70-bc705d6bedbc"/>
    <x v="27"/>
    <x v="697"/>
    <n v="6977"/>
    <x v="4"/>
    <x v="697"/>
    <x v="11"/>
    <x v="27"/>
  </r>
  <r>
    <s v="8de23b3f-a2cb-4932-9b9c-4a3890f30f88"/>
    <x v="36"/>
    <x v="698"/>
    <n v="6978"/>
    <x v="137"/>
    <x v="698"/>
    <x v="93"/>
    <x v="36"/>
  </r>
  <r>
    <s v="604449e7-22ed-403c-ad95-a40082cbdc73"/>
    <x v="6"/>
    <x v="699"/>
    <n v="6978"/>
    <x v="138"/>
    <x v="699"/>
    <x v="93"/>
    <x v="6"/>
  </r>
  <r>
    <s v="8936141b-ef4b-484a-be1c-6df0d75ab30e"/>
    <x v="0"/>
    <x v="700"/>
    <n v="6980"/>
    <x v="4"/>
    <x v="700"/>
    <x v="19"/>
    <x v="0"/>
  </r>
  <r>
    <s v="44862ff0-ab8f-4f8e-8005-fe96c6bd1038"/>
    <x v="0"/>
    <x v="701"/>
    <n v="6982"/>
    <x v="4"/>
    <x v="701"/>
    <x v="0"/>
    <x v="0"/>
  </r>
  <r>
    <s v="dd34e53b-bca6-4fd1-9bf6-a72ad9957a2f"/>
    <x v="0"/>
    <x v="702"/>
    <n v="6986"/>
    <x v="4"/>
    <x v="702"/>
    <x v="7"/>
    <x v="0"/>
  </r>
  <r>
    <s v="0cc4f001-008f-41f6-aee3-61a0eee51fde"/>
    <x v="0"/>
    <x v="703"/>
    <n v="6986"/>
    <x v="139"/>
    <x v="703"/>
    <x v="10"/>
    <x v="0"/>
  </r>
  <r>
    <s v="3d9b6679-9bf3-470a-8a8c-a073b3afb446"/>
    <x v="21"/>
    <x v="704"/>
    <n v="6990"/>
    <x v="4"/>
    <x v="704"/>
    <x v="20"/>
    <x v="21"/>
  </r>
  <r>
    <s v="0d41705b-ee25-4440-ad4f-d1cf58c3e1a8"/>
    <x v="0"/>
    <x v="705"/>
    <n v="6990"/>
    <x v="0"/>
    <x v="705"/>
    <x v="26"/>
    <x v="0"/>
  </r>
  <r>
    <s v="fbc0b9f5-9edf-4131-a870-beaf5c4713bd"/>
    <x v="10"/>
    <x v="706"/>
    <n v="4"/>
    <x v="5"/>
    <x v="706"/>
    <x v="37"/>
    <x v="10"/>
  </r>
  <r>
    <s v="ade081af-35e0-439e-9b81-486013cec110"/>
    <x v="9"/>
    <x v="707"/>
    <n v="6992"/>
    <x v="5"/>
    <x v="707"/>
    <x v="37"/>
    <x v="9"/>
  </r>
  <r>
    <s v="2c62f5f6-45ed-4431-82a5-90ccb5d839b7"/>
    <x v="36"/>
    <x v="708"/>
    <n v="6988"/>
    <x v="140"/>
    <x v="708"/>
    <x v="12"/>
    <x v="36"/>
  </r>
  <r>
    <s v="4ade7c7e-7f00-4691-8a53-f051afae040d"/>
    <x v="36"/>
    <x v="709"/>
    <n v="6988"/>
    <x v="140"/>
    <x v="709"/>
    <x v="12"/>
    <x v="36"/>
  </r>
  <r>
    <s v="b16c5a25-9ee3-42c2-a9ab-80d07f4cb7af"/>
    <x v="0"/>
    <x v="710"/>
    <n v="8"/>
    <x v="5"/>
    <x v="710"/>
    <x v="40"/>
    <x v="0"/>
  </r>
  <r>
    <s v="4c843e2f-a736-4d12-af28-cd2514bc6f18"/>
    <x v="28"/>
    <x v="711"/>
    <n v="7000"/>
    <x v="0"/>
    <x v="711"/>
    <x v="33"/>
    <x v="28"/>
  </r>
  <r>
    <s v="d6c949d5-fa08-4308-9413-e61ab7ce586c"/>
    <x v="0"/>
    <x v="712"/>
    <n v="7000"/>
    <x v="5"/>
    <x v="712"/>
    <x v="2"/>
    <x v="0"/>
  </r>
  <r>
    <s v="db1abe3e-7c11-4185-861e-1e41042b914c"/>
    <x v="4"/>
    <x v="713"/>
    <n v="7000"/>
    <x v="141"/>
    <x v="713"/>
    <x v="21"/>
    <x v="4"/>
  </r>
  <r>
    <s v="df40fde6-4629-4d7c-818d-22cfa55c8c8c"/>
    <x v="0"/>
    <x v="714"/>
    <n v="7000"/>
    <x v="142"/>
    <x v="714"/>
    <x v="14"/>
    <x v="0"/>
  </r>
  <r>
    <s v="76372c3f-62b8-45a7-85a8-2cb7b3f0df55"/>
    <x v="0"/>
    <x v="715"/>
    <n v="10"/>
    <x v="143"/>
    <x v="715"/>
    <x v="14"/>
    <x v="0"/>
  </r>
  <r>
    <s v="7398e186-32e4-4687-81e0-6d9d8467c168"/>
    <x v="4"/>
    <x v="716"/>
    <n v="7000"/>
    <x v="141"/>
    <x v="716"/>
    <x v="1"/>
    <x v="4"/>
  </r>
  <r>
    <s v="9aaabd61-72f6-4d02-ab73-9955fc125978"/>
    <x v="0"/>
    <x v="717"/>
    <n v="7000"/>
    <x v="100"/>
    <x v="717"/>
    <x v="49"/>
    <x v="0"/>
  </r>
  <r>
    <s v="2cbab73c-c2d0-495f-b67d-5b14fc30f26a"/>
    <x v="0"/>
    <x v="718"/>
    <n v="7000"/>
    <x v="100"/>
    <x v="718"/>
    <x v="50"/>
    <x v="0"/>
  </r>
  <r>
    <s v="65e47338-1f99-450f-b9be-59beff3a77dd"/>
    <x v="20"/>
    <x v="719"/>
    <n v="10"/>
    <x v="12"/>
    <x v="719"/>
    <x v="65"/>
    <x v="20"/>
  </r>
  <r>
    <s v="6819bd4e-ccbe-446c-9db6-a7dda87d734e"/>
    <x v="20"/>
    <x v="720"/>
    <n v="7000"/>
    <x v="12"/>
    <x v="720"/>
    <x v="55"/>
    <x v="20"/>
  </r>
  <r>
    <s v="62c9ecf0-b1fc-49f3-a0ff-49211be0af45"/>
    <x v="28"/>
    <x v="721"/>
    <n v="10"/>
    <x v="0"/>
    <x v="721"/>
    <x v="62"/>
    <x v="28"/>
  </r>
  <r>
    <s v="023d7377-9e6a-4eeb-98fd-f46d1346631b"/>
    <x v="28"/>
    <x v="722"/>
    <n v="10"/>
    <x v="0"/>
    <x v="722"/>
    <x v="62"/>
    <x v="28"/>
  </r>
  <r>
    <s v="4eb79a46-03ae-4a1e-8d24-78ab18bcb3ec"/>
    <x v="28"/>
    <x v="723"/>
    <n v="7004"/>
    <x v="0"/>
    <x v="723"/>
    <x v="35"/>
    <x v="28"/>
  </r>
  <r>
    <s v="b01647e1-4717-4afb-878b-a60752165ed3"/>
    <x v="0"/>
    <x v="724"/>
    <n v="7003"/>
    <x v="4"/>
    <x v="724"/>
    <x v="7"/>
    <x v="0"/>
  </r>
  <r>
    <s v="bfba583d-ebed-4998-96d2-9137c99d81e4"/>
    <x v="0"/>
    <x v="725"/>
    <n v="7007"/>
    <x v="4"/>
    <x v="725"/>
    <x v="26"/>
    <x v="0"/>
  </r>
  <r>
    <s v="e9741820-8472-4d46-88b3-91d03e9a4243"/>
    <x v="21"/>
    <x v="726"/>
    <n v="14"/>
    <x v="4"/>
    <x v="726"/>
    <x v="4"/>
    <x v="21"/>
  </r>
  <r>
    <s v="1a862484-8908-486a-b544-e852a09c9ae0"/>
    <x v="21"/>
    <x v="727"/>
    <n v="7013"/>
    <x v="39"/>
    <x v="727"/>
    <x v="4"/>
    <x v="21"/>
  </r>
  <r>
    <s v="df07c32b-67a2-4caf-80a4-43222fafd6ff"/>
    <x v="15"/>
    <x v="728"/>
    <n v="7017"/>
    <x v="144"/>
    <x v="728"/>
    <x v="87"/>
    <x v="15"/>
  </r>
  <r>
    <s v="055487cd-0790-493a-aa8e-234d179fd85f"/>
    <x v="15"/>
    <x v="729"/>
    <n v="7017"/>
    <x v="49"/>
    <x v="729"/>
    <x v="87"/>
    <x v="15"/>
  </r>
  <r>
    <s v="ef9d1238-6c4d-45ad-ba2a-1c0f6ea674eb"/>
    <x v="15"/>
    <x v="730"/>
    <n v="7017"/>
    <x v="0"/>
    <x v="730"/>
    <x v="43"/>
    <x v="15"/>
  </r>
  <r>
    <s v="37446d72-749c-4e6b-915a-f48d397d32ef"/>
    <x v="4"/>
    <x v="731"/>
    <n v="7023"/>
    <x v="145"/>
    <x v="731"/>
    <x v="15"/>
    <x v="4"/>
  </r>
  <r>
    <s v="f4397673-d32d-4ec4-bd9a-3a446040c6ad"/>
    <x v="5"/>
    <x v="732"/>
    <n v="7025"/>
    <x v="146"/>
    <x v="732"/>
    <x v="19"/>
    <x v="5"/>
  </r>
  <r>
    <s v="083e60e1-b37d-4eae-adf1-3f8625f10271"/>
    <x v="33"/>
    <x v="733"/>
    <n v="7036"/>
    <x v="75"/>
    <x v="733"/>
    <x v="24"/>
    <x v="33"/>
  </r>
  <r>
    <s v="c7327f28-7e7c-48f4-9669-54a0cf636eca"/>
    <x v="0"/>
    <x v="734"/>
    <n v="7043"/>
    <x v="142"/>
    <x v="734"/>
    <x v="11"/>
    <x v="0"/>
  </r>
  <r>
    <s v="4920ca22-cf14-4120-9e25-d6c9298ae1c1"/>
    <x v="33"/>
    <x v="735"/>
    <n v="7043"/>
    <x v="75"/>
    <x v="735"/>
    <x v="2"/>
    <x v="33"/>
  </r>
  <r>
    <s v="08696315-1c63-4c18-9f76-8ccae5803b9e"/>
    <x v="4"/>
    <x v="736"/>
    <n v="29"/>
    <x v="145"/>
    <x v="736"/>
    <x v="14"/>
    <x v="4"/>
  </r>
  <r>
    <s v="f077de9f-a4ee-4906-9e4a-b55770203f5b"/>
    <x v="4"/>
    <x v="737"/>
    <n v="7046"/>
    <x v="49"/>
    <x v="737"/>
    <x v="77"/>
    <x v="4"/>
  </r>
  <r>
    <s v="ef285670-8d14-46cf-8ab7-75d80568f256"/>
    <x v="33"/>
    <x v="738"/>
    <n v="7046"/>
    <x v="41"/>
    <x v="738"/>
    <x v="1"/>
    <x v="33"/>
  </r>
  <r>
    <s v="4022785f-5d1f-4271-a5a0-c6ffe42e3f84"/>
    <x v="33"/>
    <x v="739"/>
    <n v="7046"/>
    <x v="5"/>
    <x v="739"/>
    <x v="6"/>
    <x v="33"/>
  </r>
  <r>
    <s v="9cbaf75b-9258-47fc-8a38-3b713dfd4ede"/>
    <x v="15"/>
    <x v="740"/>
    <n v="7048"/>
    <x v="49"/>
    <x v="740"/>
    <x v="44"/>
    <x v="15"/>
  </r>
  <r>
    <s v="9cacabb6-8f88-49be-9844-6677802251d0"/>
    <x v="37"/>
    <x v="741"/>
    <n v="312"/>
    <x v="100"/>
    <x v="741"/>
    <x v="45"/>
    <x v="37"/>
  </r>
  <r>
    <s v="652576c3-9907-4896-9ddb-b78b943fbd12"/>
    <x v="15"/>
    <x v="742"/>
    <n v="7048"/>
    <x v="111"/>
    <x v="742"/>
    <x v="73"/>
    <x v="15"/>
  </r>
  <r>
    <s v="bfd3cfb9-c662-4599-9035-73339b58154c"/>
    <x v="37"/>
    <x v="743"/>
    <n v="7048"/>
    <x v="100"/>
    <x v="743"/>
    <x v="81"/>
    <x v="37"/>
  </r>
  <r>
    <s v="6a4f0a67-c393-46e3-ba17-e7a034e66fec"/>
    <x v="33"/>
    <x v="744"/>
    <n v="7048"/>
    <x v="75"/>
    <x v="744"/>
    <x v="79"/>
    <x v="33"/>
  </r>
  <r>
    <s v="900b633e-2a02-4756-bfdb-f5ac7ba4b1e5"/>
    <x v="15"/>
    <x v="745"/>
    <n v="7048"/>
    <x v="147"/>
    <x v="745"/>
    <x v="87"/>
    <x v="15"/>
  </r>
  <r>
    <s v="7263eba5-7c9f-4d56-995d-41712432de0c"/>
    <x v="33"/>
    <x v="746"/>
    <n v="7048"/>
    <x v="75"/>
    <x v="746"/>
    <x v="76"/>
    <x v="33"/>
  </r>
  <r>
    <s v="7a4ab9f2-244f-4369-878a-90ee63e40297"/>
    <x v="0"/>
    <x v="747"/>
    <n v="42"/>
    <x v="5"/>
    <x v="747"/>
    <x v="32"/>
    <x v="0"/>
  </r>
  <r>
    <s v="3c1e3cb5-0d1e-42ff-88f8-d6fd7590ee0f"/>
    <x v="0"/>
    <x v="748"/>
    <n v="7019"/>
    <x v="4"/>
    <x v="748"/>
    <x v="4"/>
    <x v="0"/>
  </r>
  <r>
    <s v="08353a3e-8182-4041-ae89-6253d0101c0d"/>
    <x v="0"/>
    <x v="749"/>
    <n v="42"/>
    <x v="148"/>
    <x v="749"/>
    <x v="40"/>
    <x v="0"/>
  </r>
  <r>
    <s v="f0835ed0-cd79-421c-ad66-dc951f1dc99b"/>
    <x v="0"/>
    <x v="750"/>
    <n v="44"/>
    <x v="148"/>
    <x v="750"/>
    <x v="1"/>
    <x v="0"/>
  </r>
  <r>
    <s v="64b1d319-fe81-4959-a48e-87a5f648123d"/>
    <x v="33"/>
    <x v="751"/>
    <n v="7063"/>
    <x v="75"/>
    <x v="751"/>
    <x v="44"/>
    <x v="33"/>
  </r>
  <r>
    <s v="a0fc6ab4-fc95-4d00-8f1a-11920a219419"/>
    <x v="33"/>
    <x v="752"/>
    <n v="7063"/>
    <x v="5"/>
    <x v="752"/>
    <x v="45"/>
    <x v="33"/>
  </r>
  <r>
    <s v="34a52e29-118c-458c-9e0f-d8fbba16e026"/>
    <x v="33"/>
    <x v="753"/>
    <n v="7065"/>
    <x v="5"/>
    <x v="753"/>
    <x v="50"/>
    <x v="33"/>
  </r>
  <r>
    <s v="d17f41bd-4b91-4835-bd70-d7253b164961"/>
    <x v="19"/>
    <x v="754"/>
    <n v="92876"/>
    <x v="12"/>
    <x v="754"/>
    <x v="18"/>
    <x v="19"/>
  </r>
  <r>
    <s v="1e5b286e-770e-4e5b-9e5c-9c092b5e8e3e"/>
    <x v="33"/>
    <x v="755"/>
    <n v="7065"/>
    <x v="5"/>
    <x v="755"/>
    <x v="53"/>
    <x v="33"/>
  </r>
  <r>
    <s v="289bbe51-f2ee-4b74-b113-2265ba5bb990"/>
    <x v="24"/>
    <x v="756"/>
    <n v="7065"/>
    <x v="12"/>
    <x v="756"/>
    <x v="64"/>
    <x v="24"/>
  </r>
  <r>
    <s v="0ef929b6-679c-4cae-a9cd-546eadc0d5a8"/>
    <x v="19"/>
    <x v="757"/>
    <n v="92879"/>
    <x v="24"/>
    <x v="757"/>
    <x v="88"/>
    <x v="19"/>
  </r>
  <r>
    <s v="b09ce88e-ee9c-4d1b-a2a9-c4af0842f3ea"/>
    <x v="24"/>
    <x v="758"/>
    <n v="7065"/>
    <x v="41"/>
    <x v="758"/>
    <x v="55"/>
    <x v="24"/>
  </r>
  <r>
    <s v="f0ea05ae-b1dd-47b1-859d-cccd25fe1535"/>
    <x v="33"/>
    <x v="759"/>
    <n v="7065"/>
    <x v="5"/>
    <x v="759"/>
    <x v="55"/>
    <x v="33"/>
  </r>
  <r>
    <s v="d6dac0ca-20da-42a2-ad3a-511e783a3d52"/>
    <x v="33"/>
    <x v="760"/>
    <n v="7065"/>
    <x v="5"/>
    <x v="760"/>
    <x v="91"/>
    <x v="33"/>
  </r>
  <r>
    <s v="fde0e8af-fcd7-482a-9fe2-8902ed82d6c0"/>
    <x v="32"/>
    <x v="761"/>
    <n v="7067"/>
    <x v="149"/>
    <x v="761"/>
    <x v="35"/>
    <x v="32"/>
  </r>
  <r>
    <s v="416d5043-084b-404e-aca8-e55ec5b1d9f0"/>
    <x v="0"/>
    <x v="762"/>
    <n v="46"/>
    <x v="148"/>
    <x v="762"/>
    <x v="19"/>
    <x v="0"/>
  </r>
  <r>
    <s v="ccd14f0f-2438-4fd7-b819-833ea34e4273"/>
    <x v="0"/>
    <x v="763"/>
    <n v="46"/>
    <x v="148"/>
    <x v="763"/>
    <x v="82"/>
    <x v="0"/>
  </r>
  <r>
    <s v="d2a9a6fc-28a2-4447-be38-b47939ebab60"/>
    <x v="32"/>
    <x v="764"/>
    <n v="7067"/>
    <x v="149"/>
    <x v="764"/>
    <x v="16"/>
    <x v="32"/>
  </r>
  <r>
    <s v="713b9065-f8cb-4b20-b564-f8a28a6c4e84"/>
    <x v="33"/>
    <x v="765"/>
    <n v="7070"/>
    <x v="5"/>
    <x v="765"/>
    <x v="28"/>
    <x v="33"/>
  </r>
  <r>
    <s v="96d1d281-3f5f-4df0-ae77-004f381982dc"/>
    <x v="32"/>
    <x v="766"/>
    <n v="7071"/>
    <x v="149"/>
    <x v="766"/>
    <x v="11"/>
    <x v="32"/>
  </r>
  <r>
    <s v="ecf41821-a554-4ba6-a3ed-fea9a6f2982d"/>
    <x v="0"/>
    <x v="767"/>
    <n v="7070"/>
    <x v="0"/>
    <x v="767"/>
    <x v="21"/>
    <x v="0"/>
  </r>
  <r>
    <s v="e0c2df8a-077b-4b38-9330-e7f4bd5885d2"/>
    <x v="0"/>
    <x v="768"/>
    <n v="7070"/>
    <x v="0"/>
    <x v="768"/>
    <x v="14"/>
    <x v="0"/>
  </r>
  <r>
    <s v="0836243e-6d4d-4970-b44f-5be2516adf42"/>
    <x v="26"/>
    <x v="769"/>
    <n v="7070"/>
    <x v="150"/>
    <x v="769"/>
    <x v="1"/>
    <x v="26"/>
  </r>
  <r>
    <s v="1dc97bdc-378c-4e9a-81db-45074ced8234"/>
    <x v="33"/>
    <x v="770"/>
    <n v="7070"/>
    <x v="5"/>
    <x v="770"/>
    <x v="6"/>
    <x v="33"/>
  </r>
  <r>
    <s v="2be77bed-416c-43bc-8f3e-c9e9b55446df"/>
    <x v="0"/>
    <x v="771"/>
    <n v="6643"/>
    <x v="0"/>
    <x v="771"/>
    <x v="45"/>
    <x v="0"/>
  </r>
  <r>
    <s v="3c58d0c6-ecfe-4fb8-9fd8-c7578b940186"/>
    <x v="26"/>
    <x v="772"/>
    <n v="7070"/>
    <x v="150"/>
    <x v="772"/>
    <x v="68"/>
    <x v="26"/>
  </r>
  <r>
    <s v="82309829-6029-404a-91e1-277d74c6bd37"/>
    <x v="33"/>
    <x v="773"/>
    <n v="7070"/>
    <x v="5"/>
    <x v="773"/>
    <x v="79"/>
    <x v="33"/>
  </r>
  <r>
    <s v="085cedd6-34dc-4613-84c9-efac8406548b"/>
    <x v="19"/>
    <x v="774"/>
    <n v="93054"/>
    <x v="24"/>
    <x v="774"/>
    <x v="36"/>
    <x v="19"/>
  </r>
  <r>
    <s v="22093778-760a-4d61-a73d-9a50c56b3558"/>
    <x v="33"/>
    <x v="775"/>
    <n v="7070"/>
    <x v="5"/>
    <x v="775"/>
    <x v="36"/>
    <x v="33"/>
  </r>
  <r>
    <s v="f37a3bdb-f09c-46ff-ad7e-b0585131422b"/>
    <x v="33"/>
    <x v="776"/>
    <n v="7070"/>
    <x v="5"/>
    <x v="776"/>
    <x v="90"/>
    <x v="33"/>
  </r>
  <r>
    <s v="c5f48364-8e77-4635-9b07-7827f8ed3424"/>
    <x v="33"/>
    <x v="777"/>
    <n v="7070"/>
    <x v="5"/>
    <x v="777"/>
    <x v="64"/>
    <x v="33"/>
  </r>
  <r>
    <s v="2b232abb-1510-4a21-a643-c9a4298aa1d0"/>
    <x v="5"/>
    <x v="778"/>
    <n v="7070"/>
    <x v="62"/>
    <x v="778"/>
    <x v="30"/>
    <x v="5"/>
  </r>
  <r>
    <s v="ad4ad903-9650-4504-bd5b-595b71a95e68"/>
    <x v="39"/>
    <x v="779"/>
    <n v="46"/>
    <x v="151"/>
    <x v="779"/>
    <x v="40"/>
    <x v="39"/>
  </r>
  <r>
    <s v="cc0adbad-4022-44a3-a63e-4240434cd2b1"/>
    <x v="39"/>
    <x v="780"/>
    <n v="7070"/>
    <x v="152"/>
    <x v="780"/>
    <x v="9"/>
    <x v="39"/>
  </r>
  <r>
    <s v="bbc9a48b-b69c-4cc5-9457-0515bbbec519"/>
    <x v="39"/>
    <x v="781"/>
    <n v="46"/>
    <x v="153"/>
    <x v="781"/>
    <x v="9"/>
    <x v="39"/>
  </r>
  <r>
    <s v="a934f3cf-5c64-4ffa-afbf-b8ebbbe258d1"/>
    <x v="39"/>
    <x v="782"/>
    <n v="7070"/>
    <x v="154"/>
    <x v="782"/>
    <x v="9"/>
    <x v="39"/>
  </r>
  <r>
    <s v="06700650-4908-4918-a1f5-2f93d017040a"/>
    <x v="33"/>
    <x v="783"/>
    <n v="7070"/>
    <x v="5"/>
    <x v="783"/>
    <x v="44"/>
    <x v="33"/>
  </r>
  <r>
    <s v="f960c61d-89d9-4eab-bcc6-68aec958e3b5"/>
    <x v="14"/>
    <x v="784"/>
    <n v="46"/>
    <x v="155"/>
    <x v="784"/>
    <x v="46"/>
    <x v="14"/>
  </r>
  <r>
    <s v="4ac533eb-b6d0-4018-873f-01582ff814c3"/>
    <x v="33"/>
    <x v="785"/>
    <n v="7070"/>
    <x v="5"/>
    <x v="785"/>
    <x v="47"/>
    <x v="33"/>
  </r>
  <r>
    <s v="b546bfde-e081-446b-ab3a-02a77626c429"/>
    <x v="33"/>
    <x v="786"/>
    <n v="7070"/>
    <x v="5"/>
    <x v="786"/>
    <x v="76"/>
    <x v="33"/>
  </r>
  <r>
    <s v="91679897-1e6f-4f73-8e3d-e04a2df68e37"/>
    <x v="24"/>
    <x v="787"/>
    <n v="7070"/>
    <x v="12"/>
    <x v="787"/>
    <x v="39"/>
    <x v="24"/>
  </r>
  <r>
    <s v="ce19414e-6531-4777-8e50-8e50c714c383"/>
    <x v="24"/>
    <x v="788"/>
    <n v="7070"/>
    <x v="41"/>
    <x v="788"/>
    <x v="74"/>
    <x v="24"/>
  </r>
  <r>
    <s v="2ab6d92f-e4e8-45c8-9525-50f53f9cee7d"/>
    <x v="33"/>
    <x v="789"/>
    <n v="7070"/>
    <x v="5"/>
    <x v="789"/>
    <x v="58"/>
    <x v="33"/>
  </r>
  <r>
    <s v="7ee40579-2618-40b6-b479-804ca4846cb0"/>
    <x v="39"/>
    <x v="790"/>
    <n v="7070"/>
    <x v="156"/>
    <x v="790"/>
    <x v="7"/>
    <x v="39"/>
  </r>
  <r>
    <s v="db1bf2ac-d4d5-4cdb-b333-28d0d321e707"/>
    <x v="39"/>
    <x v="791"/>
    <n v="7070"/>
    <x v="154"/>
    <x v="791"/>
    <x v="7"/>
    <x v="39"/>
  </r>
  <r>
    <s v="d88854d5-275e-4ff0-9ab9-5bc08115e100"/>
    <x v="32"/>
    <x v="792"/>
    <n v="7070"/>
    <x v="0"/>
    <x v="792"/>
    <x v="24"/>
    <x v="32"/>
  </r>
  <r>
    <s v="d180de9c-1d25-4e0e-a422-41f420813060"/>
    <x v="32"/>
    <x v="793"/>
    <n v="7070"/>
    <x v="0"/>
    <x v="793"/>
    <x v="31"/>
    <x v="32"/>
  </r>
  <r>
    <s v="4b21c2ff-b4be-4441-aabf-6be97b2d87f3"/>
    <x v="39"/>
    <x v="794"/>
    <n v="7070"/>
    <x v="154"/>
    <x v="794"/>
    <x v="4"/>
    <x v="39"/>
  </r>
  <r>
    <s v="70ff39b6-c9de-458f-a370-3c6a19a04f6f"/>
    <x v="32"/>
    <x v="795"/>
    <n v="7070"/>
    <x v="0"/>
    <x v="795"/>
    <x v="13"/>
    <x v="32"/>
  </r>
  <r>
    <s v="166c62b2-2514-4976-9ecb-07f10bdb989a"/>
    <x v="32"/>
    <x v="796"/>
    <n v="7070"/>
    <x v="0"/>
    <x v="796"/>
    <x v="2"/>
    <x v="32"/>
  </r>
  <r>
    <s v="c8cd8cc8-6732-4dff-8508-948f77de275a"/>
    <x v="32"/>
    <x v="797"/>
    <n v="7072"/>
    <x v="0"/>
    <x v="797"/>
    <x v="35"/>
    <x v="32"/>
  </r>
  <r>
    <s v="65415a8d-e682-4d78-9749-41e028e637a5"/>
    <x v="32"/>
    <x v="798"/>
    <n v="7060"/>
    <x v="0"/>
    <x v="798"/>
    <x v="8"/>
    <x v="32"/>
  </r>
  <r>
    <s v="4aec13df-88c8-4b24-b9ea-20bf7e17d260"/>
    <x v="32"/>
    <x v="799"/>
    <n v="7063"/>
    <x v="25"/>
    <x v="799"/>
    <x v="26"/>
    <x v="32"/>
  </r>
  <r>
    <s v="004b7856-3644-4410-ace9-1f264a25e34b"/>
    <x v="21"/>
    <x v="800"/>
    <n v="7018"/>
    <x v="4"/>
    <x v="800"/>
    <x v="30"/>
    <x v="21"/>
  </r>
  <r>
    <s v="e5f03910-388a-4f57-bb74-ac54208fb62f"/>
    <x v="32"/>
    <x v="801"/>
    <n v="7065"/>
    <x v="0"/>
    <x v="801"/>
    <x v="2"/>
    <x v="32"/>
  </r>
  <r>
    <s v="d86f70de-6233-44b1-a84b-ad24ee04f742"/>
    <x v="15"/>
    <x v="802"/>
    <n v="7065"/>
    <x v="157"/>
    <x v="802"/>
    <x v="44"/>
    <x v="15"/>
  </r>
  <r>
    <s v="dc833a8b-8ab1-4140-a524-9624c65ab4ac"/>
    <x v="15"/>
    <x v="803"/>
    <n v="7065"/>
    <x v="158"/>
    <x v="803"/>
    <x v="45"/>
    <x v="15"/>
  </r>
  <r>
    <s v="7a5b7f7c-94ad-4704-ab22-87a5b2187dec"/>
    <x v="32"/>
    <x v="804"/>
    <n v="7065"/>
    <x v="159"/>
    <x v="804"/>
    <x v="45"/>
    <x v="32"/>
  </r>
  <r>
    <s v="f94bafaf-0af1-4116-9f96-6d82ff006f80"/>
    <x v="37"/>
    <x v="805"/>
    <n v="7065"/>
    <x v="24"/>
    <x v="805"/>
    <x v="45"/>
    <x v="37"/>
  </r>
  <r>
    <s v="1f620e78-f39e-4e67-bed1-fb1c69224aa8"/>
    <x v="32"/>
    <x v="806"/>
    <n v="7065"/>
    <x v="160"/>
    <x v="806"/>
    <x v="81"/>
    <x v="32"/>
  </r>
  <r>
    <s v="aa4dc0a8-7525-4557-a68a-97506fa50145"/>
    <x v="15"/>
    <x v="807"/>
    <n v="7065"/>
    <x v="0"/>
    <x v="807"/>
    <x v="50"/>
    <x v="15"/>
  </r>
  <r>
    <s v="54258eae-8c5d-420d-8b69-ae0dd47bac0a"/>
    <x v="21"/>
    <x v="808"/>
    <n v="46"/>
    <x v="4"/>
    <x v="808"/>
    <x v="9"/>
    <x v="21"/>
  </r>
  <r>
    <s v="cbedf262-a788-4efd-b393-d043acb6c334"/>
    <x v="24"/>
    <x v="809"/>
    <n v="7053"/>
    <x v="12"/>
    <x v="809"/>
    <x v="94"/>
    <x v="24"/>
  </r>
  <r>
    <s v="576e3aa8-b936-4c9c-addb-b5af66abac22"/>
    <x v="24"/>
    <x v="810"/>
    <n v="7053"/>
    <x v="12"/>
    <x v="810"/>
    <x v="53"/>
    <x v="24"/>
  </r>
  <r>
    <s v="3acf696c-a581-4008-a80d-66a12206bb78"/>
    <x v="24"/>
    <x v="811"/>
    <n v="7053"/>
    <x v="117"/>
    <x v="811"/>
    <x v="72"/>
    <x v="24"/>
  </r>
  <r>
    <s v="896a4e15-0f83-4f2b-8f3e-9a6fec3e36af"/>
    <x v="24"/>
    <x v="812"/>
    <n v="7053"/>
    <x v="75"/>
    <x v="812"/>
    <x v="83"/>
    <x v="24"/>
  </r>
  <r>
    <s v="ca76df7a-795c-441f-8980-14d6a7813e9c"/>
    <x v="0"/>
    <x v="813"/>
    <n v="7051"/>
    <x v="4"/>
    <x v="813"/>
    <x v="29"/>
    <x v="0"/>
  </r>
  <r>
    <s v="67932dcf-ec8d-4739-afce-6f5e49ae63a3"/>
    <x v="21"/>
    <x v="814"/>
    <n v="46"/>
    <x v="4"/>
    <x v="814"/>
    <x v="6"/>
    <x v="21"/>
  </r>
  <r>
    <s v="772e2406-4c1b-4153-849f-68f95afe0ac6"/>
    <x v="24"/>
    <x v="815"/>
    <n v="7053"/>
    <x v="41"/>
    <x v="815"/>
    <x v="55"/>
    <x v="24"/>
  </r>
  <r>
    <s v="76ac7f66-23b2-4aad-aba1-6c81278615d2"/>
    <x v="24"/>
    <x v="816"/>
    <n v="91569"/>
    <x v="41"/>
    <x v="816"/>
    <x v="54"/>
    <x v="24"/>
  </r>
  <r>
    <s v="55f6e2de-7641-4691-abd9-49bda576fddc"/>
    <x v="0"/>
    <x v="817"/>
    <n v="46"/>
    <x v="161"/>
    <x v="817"/>
    <x v="8"/>
    <x v="0"/>
  </r>
  <r>
    <s v="c5b66b77-7f99-4d59-934f-41300bf6d040"/>
    <x v="0"/>
    <x v="818"/>
    <n v="1"/>
    <x v="161"/>
    <x v="818"/>
    <x v="8"/>
    <x v="0"/>
  </r>
  <r>
    <s v="92d4031e-b016-437e-a505-50545728f4e2"/>
    <x v="0"/>
    <x v="819"/>
    <n v="6632"/>
    <x v="0"/>
    <x v="819"/>
    <x v="17"/>
    <x v="0"/>
  </r>
  <r>
    <s v="7dfc6b6b-316a-48e9-957f-873259462e21"/>
    <x v="0"/>
    <x v="820"/>
    <n v="7044"/>
    <x v="4"/>
    <x v="820"/>
    <x v="45"/>
    <x v="0"/>
  </r>
  <r>
    <s v="b15177bf-7d72-452c-83f9-bedbb0995136"/>
    <x v="24"/>
    <x v="821"/>
    <n v="46"/>
    <x v="162"/>
    <x v="821"/>
    <x v="52"/>
    <x v="24"/>
  </r>
  <r>
    <s v="2ff16b93-7148-428d-8514-bfc644fcdd9d"/>
    <x v="24"/>
    <x v="822"/>
    <n v="46"/>
    <x v="163"/>
    <x v="822"/>
    <x v="52"/>
    <x v="24"/>
  </r>
  <r>
    <s v="fd125883-534e-4e6b-846f-e7173504c1cd"/>
    <x v="24"/>
    <x v="823"/>
    <n v="46"/>
    <x v="12"/>
    <x v="823"/>
    <x v="52"/>
    <x v="24"/>
  </r>
  <r>
    <s v="f9dd227d-5e7d-440e-a947-e1da4b2f72b3"/>
    <x v="15"/>
    <x v="824"/>
    <n v="7044"/>
    <x v="164"/>
    <x v="824"/>
    <x v="90"/>
    <x v="15"/>
  </r>
  <r>
    <s v="d58ea752-0bd9-41d9-a8d4-9816455e9e14"/>
    <x v="24"/>
    <x v="825"/>
    <n v="91656"/>
    <x v="41"/>
    <x v="825"/>
    <x v="55"/>
    <x v="24"/>
  </r>
  <r>
    <s v="61c1e225-012a-4fa1-a1bd-4ff0ccaeb999"/>
    <x v="32"/>
    <x v="826"/>
    <n v="7044"/>
    <x v="0"/>
    <x v="826"/>
    <x v="40"/>
    <x v="32"/>
  </r>
  <r>
    <s v="df6f9119-e2ea-4fe9-87bc-1b8f26f2db84"/>
    <x v="19"/>
    <x v="827"/>
    <n v="91682"/>
    <x v="24"/>
    <x v="827"/>
    <x v="80"/>
    <x v="19"/>
  </r>
  <r>
    <s v="7898ed91-71bb-405f-a408-85941c8b00b4"/>
    <x v="14"/>
    <x v="828"/>
    <n v="7044"/>
    <x v="12"/>
    <x v="828"/>
    <x v="14"/>
    <x v="14"/>
  </r>
  <r>
    <s v="6fdc2d6e-8765-4e36-9824-191cc00a747b"/>
    <x v="19"/>
    <x v="829"/>
    <n v="91685"/>
    <x v="24"/>
    <x v="829"/>
    <x v="49"/>
    <x v="19"/>
  </r>
  <r>
    <s v="f4114983-f29a-44f9-b3f0-d5e194ccf0bc"/>
    <x v="32"/>
    <x v="830"/>
    <n v="7044"/>
    <x v="98"/>
    <x v="830"/>
    <x v="80"/>
    <x v="32"/>
  </r>
  <r>
    <s v="5fd67a95-fe41-4ab1-be37-44cbca244f32"/>
    <x v="40"/>
    <x v="831"/>
    <n v="46"/>
    <x v="165"/>
    <x v="831"/>
    <x v="47"/>
    <x v="40"/>
  </r>
  <r>
    <s v="0664cd36-26e8-4d18-81d2-de8e7a2802e9"/>
    <x v="40"/>
    <x v="832"/>
    <n v="46"/>
    <x v="166"/>
    <x v="832"/>
    <x v="47"/>
    <x v="40"/>
  </r>
  <r>
    <s v="d74bac99-1e31-47c8-b847-8ab8ef600f4c"/>
    <x v="32"/>
    <x v="833"/>
    <n v="7044"/>
    <x v="157"/>
    <x v="833"/>
    <x v="7"/>
    <x v="32"/>
  </r>
  <r>
    <s v="f1a12278-5945-45ab-bafd-9453a9dde603"/>
    <x v="0"/>
    <x v="834"/>
    <n v="46"/>
    <x v="161"/>
    <x v="834"/>
    <x v="12"/>
    <x v="0"/>
  </r>
  <r>
    <s v="acf10407-8812-4209-8bc1-7644c28aa914"/>
    <x v="32"/>
    <x v="835"/>
    <n v="7032"/>
    <x v="98"/>
    <x v="835"/>
    <x v="9"/>
    <x v="32"/>
  </r>
  <r>
    <s v="2eb556d7-588b-4201-9a7a-e9bd5c1aab6f"/>
    <x v="32"/>
    <x v="836"/>
    <n v="7021"/>
    <x v="98"/>
    <x v="836"/>
    <x v="3"/>
    <x v="32"/>
  </r>
  <r>
    <s v="39019d06-b0b2-4bd6-bb7b-7227fd6794e0"/>
    <x v="26"/>
    <x v="837"/>
    <n v="46"/>
    <x v="167"/>
    <x v="837"/>
    <x v="33"/>
    <x v="26"/>
  </r>
  <r>
    <s v="96d82ef4-251b-4e06-8e67-97767f87e14e"/>
    <x v="26"/>
    <x v="838"/>
    <n v="7021"/>
    <x v="112"/>
    <x v="838"/>
    <x v="33"/>
    <x v="26"/>
  </r>
  <r>
    <s v="15491da6-215c-4bce-a287-db244483e32b"/>
    <x v="14"/>
    <x v="839"/>
    <n v="46"/>
    <x v="168"/>
    <x v="839"/>
    <x v="47"/>
    <x v="14"/>
  </r>
  <r>
    <s v="69055ead-283e-459c-a541-e1be90709da3"/>
    <x v="14"/>
    <x v="840"/>
    <n v="46"/>
    <x v="104"/>
    <x v="840"/>
    <x v="47"/>
    <x v="14"/>
  </r>
  <r>
    <s v="07577606-6c1c-4456-afea-33f9caf2878f"/>
    <x v="19"/>
    <x v="841"/>
    <n v="92003"/>
    <x v="24"/>
    <x v="841"/>
    <x v="43"/>
    <x v="19"/>
  </r>
  <r>
    <s v="67354253-4017-48b3-a293-a56705400126"/>
    <x v="0"/>
    <x v="842"/>
    <n v="7027"/>
    <x v="4"/>
    <x v="842"/>
    <x v="7"/>
    <x v="0"/>
  </r>
  <r>
    <s v="9bbd7040-3309-47a7-a1ee-3c4dc7d1e3df"/>
    <x v="0"/>
    <x v="843"/>
    <n v="7028"/>
    <x v="104"/>
    <x v="843"/>
    <x v="31"/>
    <x v="0"/>
  </r>
  <r>
    <s v="594b044c-3396-4e74-9631-8e6f2d503561"/>
    <x v="0"/>
    <x v="844"/>
    <n v="7030"/>
    <x v="169"/>
    <x v="844"/>
    <x v="33"/>
    <x v="0"/>
  </r>
  <r>
    <s v="c224f612-ba80-423b-8211-a402bb78767e"/>
    <x v="21"/>
    <x v="845"/>
    <n v="112"/>
    <x v="4"/>
    <x v="845"/>
    <x v="31"/>
    <x v="21"/>
  </r>
  <r>
    <s v="ce6b12ea-59d3-4d4c-aa58-2c59c6f86e49"/>
    <x v="0"/>
    <x v="846"/>
    <n v="7036"/>
    <x v="170"/>
    <x v="846"/>
    <x v="9"/>
    <x v="0"/>
  </r>
  <r>
    <s v="d6e7e9a4-ae1a-4c22-9ccb-3f4299447408"/>
    <x v="36"/>
    <x v="847"/>
    <n v="46"/>
    <x v="171"/>
    <x v="847"/>
    <x v="33"/>
    <x v="36"/>
  </r>
  <r>
    <s v="58625775-1900-4a41-ad0d-8c2362cfbcc4"/>
    <x v="22"/>
    <x v="848"/>
    <n v="6974"/>
    <x v="25"/>
    <x v="848"/>
    <x v="28"/>
    <x v="22"/>
  </r>
  <r>
    <s v="bbc761e1-a020-4333-8651-9a2708aa3a84"/>
    <x v="22"/>
    <x v="849"/>
    <n v="6974"/>
    <x v="4"/>
    <x v="849"/>
    <x v="32"/>
    <x v="22"/>
  </r>
  <r>
    <s v="68cec7d1-8efa-438d-800d-84db08ac8e31"/>
    <x v="0"/>
    <x v="850"/>
    <n v="6981"/>
    <x v="25"/>
    <x v="850"/>
    <x v="9"/>
    <x v="0"/>
  </r>
  <r>
    <s v="4f22c005-f1a5-4db4-92f5-6c039bb0d2ff"/>
    <x v="22"/>
    <x v="851"/>
    <n v="6981"/>
    <x v="25"/>
    <x v="851"/>
    <x v="45"/>
    <x v="22"/>
  </r>
  <r>
    <s v="97d1f5e7-d92c-4b44-8d13-01e594d95917"/>
    <x v="15"/>
    <x v="852"/>
    <n v="6981"/>
    <x v="4"/>
    <x v="852"/>
    <x v="58"/>
    <x v="15"/>
  </r>
  <r>
    <s v="e00afd8d-4bf3-4161-88ca-9e2fe309d57c"/>
    <x v="15"/>
    <x v="853"/>
    <n v="6981"/>
    <x v="4"/>
    <x v="853"/>
    <x v="59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C464F-CC33-492D-8461-E1FF8B852460}" name="PivotTable2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 rowHeaderCaption="UserId">
  <location ref="A3:B44" firstHeaderRow="1" firstDataRow="1" firstDataCol="1"/>
  <pivotFields count="13"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722"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showAll="0"/>
    <pivotField numFmtId="164" showAll="0">
      <items count="8001"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1345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x="146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x="454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axis="axisRow" showAll="0" sortType="descending">
      <items count="187">
        <item sd="0" m="1" x="157"/>
        <item sd="0" m="1" x="83"/>
        <item sd="0" m="1" x="148"/>
        <item sd="0" m="1" x="76"/>
        <item sd="0" m="1" x="88"/>
        <item sd="0" m="1" x="63"/>
        <item sd="0" m="1" x="110"/>
        <item sd="0" m="1" x="66"/>
        <item sd="0" m="1" x="54"/>
        <item sd="0" m="1" x="81"/>
        <item sd="0" m="1" x="140"/>
        <item sd="0" m="1" x="51"/>
        <item sd="0" m="1" x="71"/>
        <item sd="0" m="1" x="171"/>
        <item sd="0" m="1" x="42"/>
        <item sd="0" m="1" x="149"/>
        <item sd="0" m="1" x="137"/>
        <item sd="0" m="1" x="130"/>
        <item sd="0" m="1" x="133"/>
        <item sd="0" m="1" x="129"/>
        <item sd="0" m="1" x="165"/>
        <item sd="0" m="1" x="141"/>
        <item sd="0" m="1" x="106"/>
        <item sd="0" m="1" x="112"/>
        <item sd="0" m="1" x="138"/>
        <item sd="0" m="1" x="116"/>
        <item sd="0" m="1" x="82"/>
        <item sd="0" m="1" x="89"/>
        <item sd="0" m="1" x="53"/>
        <item sd="0" m="1" x="119"/>
        <item sd="0" m="1" x="84"/>
        <item sd="0" m="1" x="146"/>
        <item sd="0" m="1" x="56"/>
        <item sd="0" m="1" x="78"/>
        <item sd="0" m="1" x="111"/>
        <item sd="0" m="1" x="86"/>
        <item sd="0" m="1" x="72"/>
        <item sd="0" m="1" x="50"/>
        <item sd="0" m="1" x="97"/>
        <item sd="0" m="1" x="135"/>
        <item sd="0" m="1" x="103"/>
        <item sd="0" m="1" x="120"/>
        <item sd="0" m="1" x="151"/>
        <item sd="0" m="1" x="41"/>
        <item sd="0" m="1" x="94"/>
        <item sd="0" m="1" x="67"/>
        <item sd="0" m="1" x="167"/>
        <item sd="0" m="1" x="163"/>
        <item sd="0" m="1" x="102"/>
        <item sd="0" m="1" x="107"/>
        <item sd="0" m="1" x="48"/>
        <item sd="0" m="1" x="79"/>
        <item sd="0" m="1" x="73"/>
        <item sd="0" m="1" x="74"/>
        <item sd="0" m="1" x="46"/>
        <item sd="0" m="1" x="43"/>
        <item sd="0" m="1" x="100"/>
        <item sd="0" m="1" x="98"/>
        <item sd="0" m="1" x="123"/>
        <item sd="0" m="1" x="172"/>
        <item sd="0" m="1" x="147"/>
        <item sd="0" m="1" x="52"/>
        <item sd="0" m="1" x="132"/>
        <item sd="0" m="1" x="60"/>
        <item sd="0" m="1" x="99"/>
        <item sd="0" m="1" x="170"/>
        <item sd="0" m="1" x="85"/>
        <item sd="0" m="1" x="160"/>
        <item sd="0" m="1" x="156"/>
        <item sd="0" m="1" x="64"/>
        <item sd="0" m="1" x="154"/>
        <item sd="0" m="1" x="61"/>
        <item sd="0" m="1" x="105"/>
        <item sd="0" m="1" x="174"/>
        <item sd="0" m="1" x="143"/>
        <item sd="0" m="1" x="164"/>
        <item sd="0" m="1" x="75"/>
        <item sd="0" m="1" x="131"/>
        <item sd="0" m="1" x="115"/>
        <item sd="0" m="1" x="153"/>
        <item sd="0" m="1" x="117"/>
        <item sd="0" m="1" x="87"/>
        <item sd="0" m="1" x="77"/>
        <item sd="0" m="1" x="65"/>
        <item sd="0" m="1" x="96"/>
        <item sd="0" m="1" x="122"/>
        <item sd="0" m="1" x="128"/>
        <item sd="0" m="1" x="118"/>
        <item sd="0" m="1" x="161"/>
        <item sd="0" m="1" x="158"/>
        <item sd="0" m="1" x="55"/>
        <item sd="0" m="1" x="134"/>
        <item sd="0" m="1" x="173"/>
        <item sd="0" m="1" x="168"/>
        <item sd="0" m="1" x="169"/>
        <item sd="0" m="1" x="47"/>
        <item sd="0" m="1" x="90"/>
        <item sd="0" m="1" x="142"/>
        <item sd="0" m="1" x="104"/>
        <item sd="0" m="1" x="159"/>
        <item sd="0" m="1" x="145"/>
        <item sd="0" m="1" x="126"/>
        <item sd="0" m="1" x="93"/>
        <item sd="0" m="1" x="124"/>
        <item sd="0" m="1" x="127"/>
        <item sd="0" m="1" x="166"/>
        <item sd="0" m="1" x="144"/>
        <item sd="0" m="1" x="44"/>
        <item sd="0" m="1" x="45"/>
        <item sd="0" m="1" x="136"/>
        <item sd="0" m="1" x="58"/>
        <item sd="0" m="1" x="150"/>
        <item sd="0" m="1" x="49"/>
        <item sd="0" m="1" x="69"/>
        <item sd="0" m="1" x="113"/>
        <item sd="0" m="1" x="70"/>
        <item sd="0" m="1" x="139"/>
        <item sd="0" m="1" x="95"/>
        <item sd="0" m="1" x="152"/>
        <item sd="0" m="1" x="108"/>
        <item sd="0" m="1" x="121"/>
        <item sd="0" m="1" x="162"/>
        <item sd="0" m="1" x="68"/>
        <item sd="0" m="1" x="62"/>
        <item sd="0" m="1" x="80"/>
        <item sd="0" m="1" x="114"/>
        <item sd="0" m="1" x="92"/>
        <item sd="0" m="1" x="91"/>
        <item sd="0" m="1" x="109"/>
        <item sd="0" m="1" x="59"/>
        <item sd="0" m="1" x="101"/>
        <item sd="0" m="1" x="125"/>
        <item sd="0" m="1" x="155"/>
        <item sd="0" m="1" x="57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1">
    <i>
      <x v="145"/>
    </i>
    <i>
      <x v="169"/>
    </i>
    <i>
      <x v="178"/>
    </i>
    <i>
      <x v="177"/>
    </i>
    <i>
      <x v="159"/>
    </i>
    <i>
      <x v="166"/>
    </i>
    <i>
      <x v="149"/>
    </i>
    <i>
      <x v="154"/>
    </i>
    <i>
      <x v="150"/>
    </i>
    <i>
      <x v="164"/>
    </i>
    <i>
      <x v="180"/>
    </i>
    <i>
      <x v="160"/>
    </i>
    <i>
      <x v="171"/>
    </i>
    <i>
      <x v="158"/>
    </i>
    <i>
      <x v="155"/>
    </i>
    <i>
      <x v="157"/>
    </i>
    <i>
      <x v="165"/>
    </i>
    <i>
      <x v="182"/>
    </i>
    <i>
      <x v="168"/>
    </i>
    <i>
      <x v="151"/>
    </i>
    <i>
      <x v="181"/>
    </i>
    <i>
      <x v="184"/>
    </i>
    <i>
      <x v="161"/>
    </i>
    <i>
      <x v="162"/>
    </i>
    <i>
      <x v="173"/>
    </i>
    <i>
      <x v="167"/>
    </i>
    <i>
      <x v="172"/>
    </i>
    <i>
      <x v="147"/>
    </i>
    <i>
      <x v="152"/>
    </i>
    <i>
      <x v="174"/>
    </i>
    <i>
      <x v="179"/>
    </i>
    <i>
      <x v="146"/>
    </i>
    <i>
      <x v="183"/>
    </i>
    <i>
      <x v="153"/>
    </i>
    <i>
      <x v="148"/>
    </i>
    <i>
      <x v="156"/>
    </i>
    <i>
      <x v="176"/>
    </i>
    <i>
      <x v="163"/>
    </i>
    <i>
      <x v="175"/>
    </i>
    <i>
      <x v="170"/>
    </i>
    <i t="grand">
      <x/>
    </i>
  </rowItems>
  <colItems count="1">
    <i/>
  </colItems>
  <dataFields count="1">
    <dataField name="Search Count" fld="0" subtotal="count" baseField="6" baseItem="13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27" name="searchDate">
      <autoFilter ref="A1">
        <filterColumn colId="0">
          <customFilters and="1">
            <customFilter operator="greaterThanOrEqual" val="45809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E469-D06D-418A-84CB-7B142D0AC71A}" name="PivotTable3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175" firstHeaderRow="1" firstDataRow="1" firstDataCol="1"/>
  <pivotFields count="13">
    <pivotField dataField="1" showAll="0"/>
    <pivotField showAll="0"/>
    <pivotField numFmtId="14" showAll="0">
      <items count="4722"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name="Search Reason" axis="axisRow" showAll="0" sortType="descending">
      <items count="175">
        <item sd="0" x="39"/>
        <item sd="0" x="24"/>
        <item sd="0" x="9"/>
        <item sd="0" x="19"/>
        <item sd="0" x="104"/>
        <item sd="0" x="57"/>
        <item sd="0" x="1"/>
        <item sd="0" x="63"/>
        <item sd="0" x="25"/>
        <item sd="0" x="38"/>
        <item sd="0" x="18"/>
        <item sd="0" x="20"/>
        <item sd="0" x="75"/>
        <item sd="0" x="5"/>
        <item sd="0" x="4"/>
        <item sd="0" x="100"/>
        <item sd="0" x="49"/>
        <item sd="0" x="0"/>
        <item sd="0" x="129"/>
        <item sd="0" x="146"/>
        <item sd="0" x="132"/>
        <item x="6"/>
        <item m="1" x="172"/>
        <item m="1" x="173"/>
        <item x="2"/>
        <item x="3"/>
        <item x="7"/>
        <item x="8"/>
        <item x="10"/>
        <item x="11"/>
        <item x="12"/>
        <item x="13"/>
        <item x="14"/>
        <item x="15"/>
        <item x="16"/>
        <item x="17"/>
        <item x="21"/>
        <item x="22"/>
        <item x="23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8001"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1345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x="146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x="454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72">
    <i>
      <x v="14"/>
    </i>
    <i>
      <x v="17"/>
    </i>
    <i>
      <x v="30"/>
    </i>
    <i>
      <x v="12"/>
    </i>
    <i>
      <x v="11"/>
    </i>
    <i>
      <x v="52"/>
    </i>
    <i>
      <x v="13"/>
    </i>
    <i>
      <x v="6"/>
    </i>
    <i>
      <x v="7"/>
    </i>
    <i>
      <x v="53"/>
    </i>
    <i>
      <x v="40"/>
    </i>
    <i>
      <x v="1"/>
    </i>
    <i>
      <x v="51"/>
    </i>
    <i>
      <x v="84"/>
    </i>
    <i>
      <x v="8"/>
    </i>
    <i>
      <x v="32"/>
    </i>
    <i>
      <x v="63"/>
    </i>
    <i>
      <x v="25"/>
    </i>
    <i>
      <x v="15"/>
    </i>
    <i>
      <x v="10"/>
    </i>
    <i>
      <x v="4"/>
    </i>
    <i>
      <x v="118"/>
    </i>
    <i>
      <x v="55"/>
    </i>
    <i>
      <x v="66"/>
    </i>
    <i>
      <x v="29"/>
    </i>
    <i>
      <x v="26"/>
    </i>
    <i>
      <x v="2"/>
    </i>
    <i>
      <x v="115"/>
    </i>
    <i>
      <x v="109"/>
    </i>
    <i>
      <x v="104"/>
    </i>
    <i>
      <x v="105"/>
    </i>
    <i>
      <x v="47"/>
    </i>
    <i>
      <x v="150"/>
    </i>
    <i>
      <x v="16"/>
    </i>
    <i>
      <x v="120"/>
    </i>
    <i>
      <x v="3"/>
    </i>
    <i>
      <x/>
    </i>
    <i>
      <x v="33"/>
    </i>
    <i>
      <x v="67"/>
    </i>
    <i>
      <x v="58"/>
    </i>
    <i>
      <x v="151"/>
    </i>
    <i>
      <x v="129"/>
    </i>
    <i>
      <x v="78"/>
    </i>
    <i>
      <x v="20"/>
    </i>
    <i>
      <x v="71"/>
    </i>
    <i>
      <x v="100"/>
    </i>
    <i>
      <x v="156"/>
    </i>
    <i>
      <x v="163"/>
    </i>
    <i>
      <x v="117"/>
    </i>
    <i>
      <x v="144"/>
    </i>
    <i>
      <x v="9"/>
    </i>
    <i>
      <x v="54"/>
    </i>
    <i>
      <x v="111"/>
    </i>
    <i>
      <x v="135"/>
    </i>
    <i>
      <x v="112"/>
    </i>
    <i>
      <x v="148"/>
    </i>
    <i>
      <x v="113"/>
    </i>
    <i>
      <x v="44"/>
    </i>
    <i>
      <x v="31"/>
    </i>
    <i>
      <x v="130"/>
    </i>
    <i>
      <x v="116"/>
    </i>
    <i>
      <x v="143"/>
    </i>
    <i>
      <x v="99"/>
    </i>
    <i>
      <x v="145"/>
    </i>
    <i>
      <x v="50"/>
    </i>
    <i>
      <x v="102"/>
    </i>
    <i>
      <x v="28"/>
    </i>
    <i>
      <x v="152"/>
    </i>
    <i>
      <x v="122"/>
    </i>
    <i>
      <x v="159"/>
    </i>
    <i>
      <x v="125"/>
    </i>
    <i>
      <x v="87"/>
    </i>
    <i>
      <x v="88"/>
    </i>
    <i>
      <x v="139"/>
    </i>
    <i>
      <x v="171"/>
    </i>
    <i>
      <x v="155"/>
    </i>
    <i>
      <x v="77"/>
    </i>
    <i>
      <x v="131"/>
    </i>
    <i>
      <x v="43"/>
    </i>
    <i>
      <x v="147"/>
    </i>
    <i>
      <x v="79"/>
    </i>
    <i>
      <x v="75"/>
    </i>
    <i>
      <x v="80"/>
    </i>
    <i>
      <x v="127"/>
    </i>
    <i>
      <x v="81"/>
    </i>
    <i>
      <x v="65"/>
    </i>
    <i>
      <x v="82"/>
    </i>
    <i>
      <x v="24"/>
    </i>
    <i>
      <x v="83"/>
    </i>
    <i>
      <x v="42"/>
    </i>
    <i>
      <x v="18"/>
    </i>
    <i>
      <x v="74"/>
    </i>
    <i>
      <x v="85"/>
    </i>
    <i>
      <x v="167"/>
    </i>
    <i>
      <x v="86"/>
    </i>
    <i>
      <x v="62"/>
    </i>
    <i>
      <x v="45"/>
    </i>
    <i>
      <x v="39"/>
    </i>
    <i>
      <x v="46"/>
    </i>
    <i>
      <x v="133"/>
    </i>
    <i>
      <x v="89"/>
    </i>
    <i>
      <x v="137"/>
    </i>
    <i>
      <x v="90"/>
    </i>
    <i>
      <x v="141"/>
    </i>
    <i>
      <x v="91"/>
    </i>
    <i>
      <x v="68"/>
    </i>
    <i>
      <x v="92"/>
    </i>
    <i>
      <x v="149"/>
    </i>
    <i>
      <x v="93"/>
    </i>
    <i>
      <x v="153"/>
    </i>
    <i>
      <x v="94"/>
    </i>
    <i>
      <x v="157"/>
    </i>
    <i>
      <x v="95"/>
    </i>
    <i>
      <x v="161"/>
    </i>
    <i>
      <x v="96"/>
    </i>
    <i>
      <x v="165"/>
    </i>
    <i>
      <x v="97"/>
    </i>
    <i>
      <x v="169"/>
    </i>
    <i>
      <x v="98"/>
    </i>
    <i>
      <x v="173"/>
    </i>
    <i>
      <x v="19"/>
    </i>
    <i>
      <x v="126"/>
    </i>
    <i>
      <x v="48"/>
    </i>
    <i>
      <x v="128"/>
    </i>
    <i>
      <x v="101"/>
    </i>
    <i>
      <x v="64"/>
    </i>
    <i>
      <x v="49"/>
    </i>
    <i>
      <x v="132"/>
    </i>
    <i>
      <x v="103"/>
    </i>
    <i>
      <x v="134"/>
    </i>
    <i>
      <x v="27"/>
    </i>
    <i>
      <x v="136"/>
    </i>
    <i>
      <x v="5"/>
    </i>
    <i>
      <x v="138"/>
    </i>
    <i>
      <x v="106"/>
    </i>
    <i>
      <x v="140"/>
    </i>
    <i>
      <x v="107"/>
    </i>
    <i>
      <x v="142"/>
    </i>
    <i>
      <x v="108"/>
    </i>
    <i>
      <x v="41"/>
    </i>
    <i>
      <x v="34"/>
    </i>
    <i>
      <x v="146"/>
    </i>
    <i>
      <x v="110"/>
    </i>
    <i>
      <x v="69"/>
    </i>
    <i>
      <x v="35"/>
    </i>
    <i>
      <x v="70"/>
    </i>
    <i>
      <x v="36"/>
    </i>
    <i>
      <x v="72"/>
    </i>
    <i>
      <x v="37"/>
    </i>
    <i>
      <x v="154"/>
    </i>
    <i>
      <x v="114"/>
    </i>
    <i>
      <x v="73"/>
    </i>
    <i>
      <x v="56"/>
    </i>
    <i>
      <x v="158"/>
    </i>
    <i>
      <x v="57"/>
    </i>
    <i>
      <x v="160"/>
    </i>
    <i>
      <x v="38"/>
    </i>
    <i>
      <x v="162"/>
    </i>
    <i>
      <x v="59"/>
    </i>
    <i>
      <x v="164"/>
    </i>
    <i>
      <x v="119"/>
    </i>
    <i>
      <x v="166"/>
    </i>
    <i>
      <x v="60"/>
    </i>
    <i>
      <x v="168"/>
    </i>
    <i>
      <x v="121"/>
    </i>
    <i>
      <x v="170"/>
    </i>
    <i>
      <x v="61"/>
    </i>
    <i>
      <x v="172"/>
    </i>
    <i>
      <x v="123"/>
    </i>
    <i>
      <x v="76"/>
    </i>
    <i>
      <x v="12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filters count="1">
    <filter fld="5" type="dateBetween" evalOrder="-1" id="11" name="derived-searchDatePST">
      <autoFilter ref="A1">
        <filterColumn colId="0">
          <customFilters and="1">
            <customFilter operator="greaterThanOrEqual" val="45809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A88A3-1C9E-4AA3-8893-113D7AC507D6}" name="PivotTable1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Time Of Date">
  <location ref="A4:B100" firstHeaderRow="1" firstDataRow="1" firstDataCol="1" rowPageCount="1" colPageCount="1"/>
  <pivotFields count="13">
    <pivotField dataField="1" showAll="0"/>
    <pivotField axis="axisPage" showAll="0">
      <items count="187">
        <item m="1" x="157"/>
        <item m="1" x="83"/>
        <item m="1" x="148"/>
        <item m="1" x="76"/>
        <item m="1" x="88"/>
        <item m="1" x="63"/>
        <item m="1" x="110"/>
        <item m="1" x="66"/>
        <item m="1" x="54"/>
        <item m="1" x="81"/>
        <item m="1" x="140"/>
        <item m="1" x="51"/>
        <item m="1" x="71"/>
        <item m="1" x="171"/>
        <item m="1" x="42"/>
        <item m="1" x="149"/>
        <item m="1" x="137"/>
        <item m="1" x="130"/>
        <item m="1" x="133"/>
        <item m="1" x="129"/>
        <item m="1" x="165"/>
        <item m="1" x="141"/>
        <item m="1" x="106"/>
        <item m="1" x="112"/>
        <item m="1" x="138"/>
        <item m="1" x="116"/>
        <item m="1" x="82"/>
        <item m="1" x="89"/>
        <item m="1" x="53"/>
        <item m="1" x="119"/>
        <item m="1" x="84"/>
        <item m="1" x="146"/>
        <item m="1" x="56"/>
        <item m="1" x="78"/>
        <item m="1" x="111"/>
        <item m="1" x="86"/>
        <item m="1" x="72"/>
        <item m="1" x="50"/>
        <item m="1" x="97"/>
        <item m="1" x="135"/>
        <item m="1" x="103"/>
        <item m="1" x="120"/>
        <item m="1" x="151"/>
        <item m="1" x="41"/>
        <item m="1" x="94"/>
        <item m="1" x="67"/>
        <item m="1" x="167"/>
        <item m="1" x="163"/>
        <item m="1" x="102"/>
        <item m="1" x="107"/>
        <item m="1" x="48"/>
        <item m="1" x="79"/>
        <item m="1" x="73"/>
        <item m="1" x="74"/>
        <item m="1" x="46"/>
        <item m="1" x="43"/>
        <item m="1" x="100"/>
        <item m="1" x="98"/>
        <item m="1" x="123"/>
        <item m="1" x="172"/>
        <item m="1" x="147"/>
        <item m="1" x="52"/>
        <item m="1" x="132"/>
        <item m="1" x="60"/>
        <item m="1" x="99"/>
        <item m="1" x="170"/>
        <item m="1" x="85"/>
        <item m="1" x="160"/>
        <item m="1" x="156"/>
        <item m="1" x="64"/>
        <item m="1" x="154"/>
        <item m="1" x="61"/>
        <item m="1" x="105"/>
        <item m="1" x="174"/>
        <item m="1" x="143"/>
        <item m="1" x="164"/>
        <item m="1" x="75"/>
        <item m="1" x="131"/>
        <item m="1" x="115"/>
        <item m="1" x="153"/>
        <item m="1" x="117"/>
        <item m="1" x="87"/>
        <item m="1" x="77"/>
        <item m="1" x="65"/>
        <item m="1" x="96"/>
        <item m="1" x="122"/>
        <item m="1" x="128"/>
        <item m="1" x="118"/>
        <item m="1" x="161"/>
        <item m="1" x="158"/>
        <item m="1" x="55"/>
        <item m="1" x="134"/>
        <item m="1" x="173"/>
        <item m="1" x="168"/>
        <item m="1" x="169"/>
        <item m="1" x="47"/>
        <item m="1" x="90"/>
        <item m="1" x="142"/>
        <item m="1" x="104"/>
        <item m="1" x="159"/>
        <item m="1" x="145"/>
        <item m="1" x="126"/>
        <item m="1" x="93"/>
        <item m="1" x="124"/>
        <item m="1" x="127"/>
        <item m="1" x="166"/>
        <item m="1" x="144"/>
        <item m="1" x="44"/>
        <item m="1" x="45"/>
        <item m="1" x="136"/>
        <item m="1" x="58"/>
        <item m="1" x="150"/>
        <item m="1" x="49"/>
        <item m="1" x="69"/>
        <item m="1" x="113"/>
        <item m="1" x="70"/>
        <item m="1" x="139"/>
        <item m="1" x="95"/>
        <item m="1" x="152"/>
        <item m="1" x="108"/>
        <item m="1" x="121"/>
        <item m="1" x="162"/>
        <item m="1" x="68"/>
        <item m="1" x="62"/>
        <item m="1" x="80"/>
        <item m="1" x="114"/>
        <item m="1" x="92"/>
        <item m="1" x="91"/>
        <item m="1" x="109"/>
        <item m="1" x="59"/>
        <item m="1" x="101"/>
        <item m="1" x="125"/>
        <item m="1" x="155"/>
        <item m="1" x="57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4722"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showAll="0"/>
    <pivotField numFmtId="164" showAll="0">
      <items count="8001"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1345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x="146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x="454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axis="axisRow" showAll="0">
      <items count="97">
        <item x="54"/>
        <item x="22"/>
        <item x="75"/>
        <item x="64"/>
        <item x="65"/>
        <item x="88"/>
        <item x="55"/>
        <item x="56"/>
        <item x="57"/>
        <item x="71"/>
        <item x="72"/>
        <item x="83"/>
        <item x="91"/>
        <item x="58"/>
        <item x="92"/>
        <item m="1" x="95"/>
        <item x="70"/>
        <item x="38"/>
        <item x="89"/>
        <item x="86"/>
        <item x="66"/>
        <item x="59"/>
        <item x="93"/>
        <item x="60"/>
        <item x="61"/>
        <item x="27"/>
        <item x="23"/>
        <item x="62"/>
        <item x="63"/>
        <item x="35"/>
        <item x="15"/>
        <item x="19"/>
        <item x="8"/>
        <item x="0"/>
        <item x="25"/>
        <item x="82"/>
        <item x="16"/>
        <item x="7"/>
        <item x="10"/>
        <item x="24"/>
        <item x="20"/>
        <item x="26"/>
        <item x="17"/>
        <item x="28"/>
        <item x="11"/>
        <item x="37"/>
        <item x="29"/>
        <item x="5"/>
        <item x="30"/>
        <item x="12"/>
        <item x="31"/>
        <item x="32"/>
        <item x="4"/>
        <item x="13"/>
        <item x="40"/>
        <item x="9"/>
        <item x="3"/>
        <item x="33"/>
        <item x="2"/>
        <item x="21"/>
        <item x="14"/>
        <item x="77"/>
        <item x="1"/>
        <item x="6"/>
        <item x="44"/>
        <item x="45"/>
        <item x="73"/>
        <item x="84"/>
        <item x="46"/>
        <item x="81"/>
        <item x="68"/>
        <item x="34"/>
        <item x="47"/>
        <item x="94"/>
        <item x="48"/>
        <item x="78"/>
        <item x="49"/>
        <item x="85"/>
        <item x="41"/>
        <item x="79"/>
        <item x="50"/>
        <item x="42"/>
        <item x="18"/>
        <item x="87"/>
        <item x="43"/>
        <item x="69"/>
        <item x="36"/>
        <item x="51"/>
        <item x="67"/>
        <item x="80"/>
        <item x="52"/>
        <item x="90"/>
        <item x="76"/>
        <item x="39"/>
        <item x="53"/>
        <item x="74"/>
        <item t="default"/>
      </items>
    </pivotField>
    <pivotField showAll="0"/>
    <pivotField dragToRow="0" dragToCol="0" dragToPage="0" showAll="0" defaultSubtota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pageFields count="1">
    <pageField fld="1" hier="-1"/>
  </pageFields>
  <dataFields count="1">
    <dataField name="Search Count" fld="0" subtotal="count" baseField="5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9" name="derived-searchDatePST">
      <autoFilter ref="A1">
        <filterColumn colId="0">
          <customFilters and="1">
            <customFilter operator="greaterThanOrEqual" val="4577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F6BC4-7AA6-4498-973B-4F6BB34DF3C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ime Of Date">
  <location ref="A4:B11" firstHeaderRow="1" firstDataRow="1" firstDataCol="1" rowPageCount="1" colPageCount="1"/>
  <pivotFields count="13">
    <pivotField dataField="1" showAll="0"/>
    <pivotField axis="axisPage" showAll="0">
      <items count="187">
        <item m="1" x="157"/>
        <item m="1" x="83"/>
        <item m="1" x="148"/>
        <item m="1" x="76"/>
        <item m="1" x="88"/>
        <item m="1" x="63"/>
        <item m="1" x="110"/>
        <item m="1" x="66"/>
        <item m="1" x="54"/>
        <item m="1" x="81"/>
        <item m="1" x="140"/>
        <item m="1" x="51"/>
        <item m="1" x="71"/>
        <item m="1" x="171"/>
        <item m="1" x="42"/>
        <item m="1" x="149"/>
        <item m="1" x="137"/>
        <item m="1" x="130"/>
        <item m="1" x="133"/>
        <item m="1" x="129"/>
        <item m="1" x="165"/>
        <item m="1" x="141"/>
        <item m="1" x="106"/>
        <item m="1" x="112"/>
        <item m="1" x="138"/>
        <item m="1" x="116"/>
        <item m="1" x="82"/>
        <item m="1" x="89"/>
        <item m="1" x="53"/>
        <item m="1" x="119"/>
        <item m="1" x="84"/>
        <item m="1" x="146"/>
        <item m="1" x="56"/>
        <item m="1" x="78"/>
        <item m="1" x="111"/>
        <item m="1" x="86"/>
        <item m="1" x="72"/>
        <item m="1" x="50"/>
        <item m="1" x="97"/>
        <item m="1" x="135"/>
        <item m="1" x="103"/>
        <item m="1" x="120"/>
        <item m="1" x="151"/>
        <item m="1" x="41"/>
        <item m="1" x="94"/>
        <item m="1" x="67"/>
        <item m="1" x="167"/>
        <item m="1" x="163"/>
        <item m="1" x="102"/>
        <item m="1" x="107"/>
        <item m="1" x="48"/>
        <item m="1" x="79"/>
        <item m="1" x="73"/>
        <item m="1" x="74"/>
        <item m="1" x="46"/>
        <item m="1" x="43"/>
        <item m="1" x="100"/>
        <item m="1" x="98"/>
        <item m="1" x="123"/>
        <item m="1" x="172"/>
        <item m="1" x="147"/>
        <item m="1" x="52"/>
        <item m="1" x="132"/>
        <item m="1" x="60"/>
        <item m="1" x="99"/>
        <item m="1" x="170"/>
        <item m="1" x="85"/>
        <item m="1" x="160"/>
        <item m="1" x="156"/>
        <item m="1" x="64"/>
        <item m="1" x="154"/>
        <item m="1" x="61"/>
        <item m="1" x="105"/>
        <item m="1" x="174"/>
        <item m="1" x="143"/>
        <item m="1" x="164"/>
        <item m="1" x="75"/>
        <item m="1" x="131"/>
        <item m="1" x="115"/>
        <item m="1" x="153"/>
        <item m="1" x="117"/>
        <item m="1" x="87"/>
        <item m="1" x="77"/>
        <item m="1" x="65"/>
        <item m="1" x="96"/>
        <item m="1" x="122"/>
        <item m="1" x="128"/>
        <item m="1" x="118"/>
        <item m="1" x="161"/>
        <item m="1" x="158"/>
        <item m="1" x="55"/>
        <item m="1" x="134"/>
        <item m="1" x="173"/>
        <item m="1" x="168"/>
        <item m="1" x="169"/>
        <item m="1" x="47"/>
        <item m="1" x="90"/>
        <item m="1" x="142"/>
        <item m="1" x="104"/>
        <item m="1" x="159"/>
        <item m="1" x="145"/>
        <item m="1" x="126"/>
        <item m="1" x="93"/>
        <item m="1" x="124"/>
        <item m="1" x="127"/>
        <item m="1" x="166"/>
        <item m="1" x="144"/>
        <item m="1" x="44"/>
        <item m="1" x="45"/>
        <item m="1" x="136"/>
        <item m="1" x="58"/>
        <item m="1" x="150"/>
        <item m="1" x="49"/>
        <item m="1" x="69"/>
        <item m="1" x="113"/>
        <item m="1" x="70"/>
        <item m="1" x="139"/>
        <item m="1" x="95"/>
        <item m="1" x="152"/>
        <item m="1" x="108"/>
        <item m="1" x="121"/>
        <item m="1" x="162"/>
        <item m="1" x="68"/>
        <item m="1" x="62"/>
        <item m="1" x="80"/>
        <item m="1" x="114"/>
        <item m="1" x="92"/>
        <item m="1" x="91"/>
        <item m="1" x="109"/>
        <item m="1" x="59"/>
        <item m="1" x="101"/>
        <item m="1" x="125"/>
        <item m="1" x="155"/>
        <item m="1" x="57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4722"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showAll="0"/>
    <pivotField showAll="0"/>
    <pivotField axis="axisRow" numFmtId="166" showAll="0">
      <items count="8001"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1345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x="146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x="454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axis="axisRow" showAll="0">
      <items count="97">
        <item x="54"/>
        <item x="22"/>
        <item x="75"/>
        <item x="64"/>
        <item x="65"/>
        <item x="88"/>
        <item x="55"/>
        <item x="56"/>
        <item x="57"/>
        <item x="71"/>
        <item x="72"/>
        <item x="83"/>
        <item x="91"/>
        <item x="58"/>
        <item x="92"/>
        <item m="1" x="95"/>
        <item x="70"/>
        <item x="38"/>
        <item x="89"/>
        <item x="86"/>
        <item x="66"/>
        <item x="59"/>
        <item x="93"/>
        <item x="60"/>
        <item x="61"/>
        <item x="27"/>
        <item x="23"/>
        <item x="62"/>
        <item x="63"/>
        <item x="35"/>
        <item x="15"/>
        <item x="19"/>
        <item x="8"/>
        <item x="0"/>
        <item x="25"/>
        <item x="82"/>
        <item x="16"/>
        <item x="7"/>
        <item x="10"/>
        <item x="24"/>
        <item x="20"/>
        <item x="26"/>
        <item x="17"/>
        <item x="28"/>
        <item x="11"/>
        <item x="37"/>
        <item x="29"/>
        <item x="5"/>
        <item x="30"/>
        <item x="12"/>
        <item x="31"/>
        <item x="32"/>
        <item x="4"/>
        <item x="13"/>
        <item x="40"/>
        <item x="9"/>
        <item x="3"/>
        <item x="33"/>
        <item x="2"/>
        <item x="21"/>
        <item x="14"/>
        <item x="77"/>
        <item x="1"/>
        <item x="6"/>
        <item x="44"/>
        <item x="45"/>
        <item x="73"/>
        <item x="84"/>
        <item x="46"/>
        <item x="81"/>
        <item x="68"/>
        <item x="34"/>
        <item x="47"/>
        <item x="94"/>
        <item x="48"/>
        <item x="78"/>
        <item x="49"/>
        <item x="85"/>
        <item x="41"/>
        <item x="79"/>
        <item x="50"/>
        <item x="42"/>
        <item x="18"/>
        <item x="87"/>
        <item x="43"/>
        <item x="69"/>
        <item x="36"/>
        <item x="51"/>
        <item x="67"/>
        <item x="80"/>
        <item x="52"/>
        <item x="90"/>
        <item x="76"/>
        <item x="39"/>
        <item x="53"/>
        <item x="74"/>
        <item t="default"/>
      </items>
    </pivotField>
    <pivotField showAll="0"/>
    <pivotField dragToRow="0" dragToCol="0" dragToPage="0" showAll="0" defaultSubtota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2"/>
    <field x="11"/>
    <field x="5"/>
    <field x="6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earch Count" fld="0" subtotal="count" baseField="5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DCCFB-8C1A-4247-B3CB-3903450FADFF}" name="SearchData" displayName="SearchData" ref="A1:H855" totalsRowShown="0" headerRowDxfId="4">
  <autoFilter ref="A1:H855" xr:uid="{8B1DCCFB-8C1A-4247-B3CB-3903450FADFF}"/>
  <tableColumns count="8">
    <tableColumn id="1" xr3:uid="{6136EEC9-C8DF-4CA2-9A54-B7967B736B69}" name="id"/>
    <tableColumn id="2" xr3:uid="{E8421ACB-9516-4C8E-89E2-68DC7AE4F2AF}" name="userId"/>
    <tableColumn id="3" xr3:uid="{12790E08-2BE0-4777-A29E-B393E7CF4EEF}" name="searchDate" dataDxfId="3"/>
    <tableColumn id="4" xr3:uid="{9B623AD0-4FB9-4424-8CD9-4A2ECAD52978}" name="cameraCount"/>
    <tableColumn id="5" xr3:uid="{828C67F3-BE08-4D01-AA49-86611AD25947}" name="reason"/>
    <tableColumn id="8" xr3:uid="{690D1D2B-C832-49B3-9A85-D887297DEE08}" name="derived-searchDatePST" dataDxfId="2">
      <calculatedColumnFormula>C2-TIME(8,0,0)</calculatedColumnFormula>
    </tableColumn>
    <tableColumn id="6" xr3:uid="{363D23CD-15F3-4DC0-AC27-385E4084B56C}" name="derived-timeOfDayPST" dataDxfId="1">
      <calculatedColumnFormula>TEXT(MROUND(C2-TIME(8,0,0), "0:15"),"HH:MM:SS")</calculatedColumnFormula>
    </tableColumn>
    <tableColumn id="7" xr3:uid="{D21527AD-78DB-41FA-A6AB-3F43565F3470}" name="derived-AbbrvUserId" dataDxfId="0">
      <calculatedColumnFormula>LEFT(SearchData[[#This Row],[userId]],8)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earchDate" xr10:uid="{B5E129EA-7785-45B1-8382-B5ADC7FAB025}" sourceName="searchDate">
  <pivotTables>
    <pivotTable tabId="2" name="PivotTable2"/>
  </pivotTables>
  <state minimalRefreshVersion="6" lastRefreshVersion="6" pivotCacheId="1123250156" filterType="dateBetween">
    <selection startDate="2025-06-01T00:00:00" endDate="2025-09-30T00:00:00"/>
    <bounds startDate="2025-01-01T16:22:05" endDate="2026-01-01T13:20:06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erived_searchDatePST" xr10:uid="{394866F6-ED66-4182-82C0-D761A070EC1B}" sourceName="derived-searchDatePST">
  <pivotTables>
    <pivotTable tabId="3" name="PivotTable3"/>
  </pivotTables>
  <state minimalRefreshVersion="6" lastRefreshVersion="6" pivotCacheId="1123250156" filterType="dateBetween">
    <selection startDate="2025-06-01T00:00:00" endDate="2025-10-31T00:00:00"/>
    <bounds startDate="2025-01-01T08:22:05" endDate="2026-01-01T05:20:06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erived_searchDatePST1" xr10:uid="{1C160658-D794-4EF9-A6E3-B1699AF8B3AA}" sourceName="derived-searchDatePST">
  <pivotTables>
    <pivotTable tabId="6" name="PivotTable1"/>
  </pivotTables>
  <state minimalRefreshVersion="6" lastRefreshVersion="6" pivotCacheId="1123250156" filterType="dateBetween">
    <selection startDate="2025-05-01T00:00:00" endDate="2025-10-31T00:00:00"/>
    <bounds startDate="2025-01-01T08:22:05" endDate="2026-01-01T05:20:06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earchDate" xr10:uid="{DE112DFE-CEF9-4617-A2EB-ADB563A105B0}" cache="NativeTimeline_searchDate" caption="searchDate" level="2" selectionLevel="2" scrollPosition="2025-05-1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erived-searchDatePST" xr10:uid="{857567D4-D72A-4F47-8A6B-1FA8E19E7197}" cache="NativeTimeline_derived_searchDatePST" caption="derived-searchDatePST" level="2" selectionLevel="2" scrollPosition="2025-05-20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erived-searchDatePST 1" xr10:uid="{6455187B-E8F0-4C4F-94A9-522B58111CE6}" cache="NativeTimeline_derived_searchDatePST1" caption="derived-searchDatePST" level="2" selectionLevel="2" scrollPosition="2025-03-19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parency.flocksafety.com/springfield-or-pd" TargetMode="External"/><Relationship Id="rId1" Type="http://schemas.openxmlformats.org/officeDocument/2006/relationships/hyperlink" Target="https://github.com/eyes-off/springfield-oregon/blob/main/FlockAuditLogs/SPDSearchAuditLog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FDB-AC6F-43A4-AA33-553C25FBB468}">
  <dimension ref="A1:A8"/>
  <sheetViews>
    <sheetView tabSelected="1" workbookViewId="0">
      <selection activeCell="A3" sqref="A3"/>
    </sheetView>
  </sheetViews>
  <sheetFormatPr defaultRowHeight="15"/>
  <sheetData>
    <row r="1" spans="1:1" ht="36">
      <c r="A1" s="6" t="s">
        <v>28</v>
      </c>
    </row>
    <row r="2" spans="1:1" ht="21">
      <c r="A2" s="7" t="s">
        <v>135</v>
      </c>
    </row>
    <row r="4" spans="1:1">
      <c r="A4" t="s">
        <v>1193</v>
      </c>
    </row>
    <row r="5" spans="1:1">
      <c r="A5" s="8" t="s">
        <v>1194</v>
      </c>
    </row>
    <row r="7" spans="1:1">
      <c r="A7" s="9" t="s">
        <v>29</v>
      </c>
    </row>
    <row r="8" spans="1:1">
      <c r="A8" s="8" t="s">
        <v>1195</v>
      </c>
    </row>
  </sheetData>
  <hyperlinks>
    <hyperlink ref="A8" r:id="rId1" xr:uid="{D5F790C9-9D2A-45A1-9812-6ED04DE10701}"/>
    <hyperlink ref="A5" r:id="rId2" xr:uid="{BBA2D256-48A1-447D-B007-46E2AE76B8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16CA-05B5-4468-B087-85841270E5BD}">
  <dimension ref="A1:H85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9" bestFit="1" customWidth="1"/>
    <col min="2" max="2" width="38.7109375" bestFit="1" customWidth="1"/>
    <col min="3" max="3" width="21.5703125" style="5" bestFit="1" customWidth="1"/>
    <col min="4" max="4" width="14.140625" customWidth="1"/>
    <col min="5" max="5" width="59.28515625" style="3" customWidth="1"/>
    <col min="6" max="6" width="24.85546875" customWidth="1"/>
    <col min="7" max="7" width="27.7109375" customWidth="1"/>
    <col min="8" max="8" width="19.7109375" customWidth="1"/>
  </cols>
  <sheetData>
    <row r="1" spans="1:8">
      <c r="A1" s="9" t="s">
        <v>0</v>
      </c>
      <c r="B1" s="9" t="s">
        <v>1</v>
      </c>
      <c r="C1" s="11" t="s">
        <v>2</v>
      </c>
      <c r="D1" s="9" t="s">
        <v>3</v>
      </c>
      <c r="E1" s="13" t="s">
        <v>4</v>
      </c>
      <c r="F1" s="9" t="s">
        <v>134</v>
      </c>
      <c r="G1" s="9" t="s">
        <v>126</v>
      </c>
      <c r="H1" s="9" t="s">
        <v>127</v>
      </c>
    </row>
    <row r="2" spans="1:8">
      <c r="A2" t="s">
        <v>136</v>
      </c>
      <c r="B2" t="s">
        <v>137</v>
      </c>
      <c r="C2" s="5">
        <v>45807.681996631945</v>
      </c>
      <c r="D2">
        <v>620</v>
      </c>
      <c r="E2" s="3" t="s">
        <v>13</v>
      </c>
      <c r="F2" s="12">
        <f t="shared" ref="F2:F65" si="0">C2-TIME(8,0,0)</f>
        <v>45807.34866329861</v>
      </c>
      <c r="G2" s="10" t="str">
        <f t="shared" ref="G2:G65" si="1">TEXT(MROUND(C2-TIME(8,0,0), "0:15"),"HH:MM:SS")</f>
        <v>08:15:00</v>
      </c>
      <c r="H2" t="str">
        <f>LEFT(SearchData[[#This Row],[userId]],8)</f>
        <v>fb7d1ae3</v>
      </c>
    </row>
    <row r="3" spans="1:8">
      <c r="A3" t="s">
        <v>138</v>
      </c>
      <c r="B3" t="s">
        <v>139</v>
      </c>
      <c r="C3" s="5">
        <v>45811.983305601854</v>
      </c>
      <c r="D3">
        <v>0</v>
      </c>
      <c r="E3" s="3" t="s">
        <v>7</v>
      </c>
      <c r="F3" s="12">
        <f t="shared" si="0"/>
        <v>45811.649972268518</v>
      </c>
      <c r="G3" s="10" t="str">
        <f t="shared" si="1"/>
        <v>15:30:00</v>
      </c>
      <c r="H3" t="str">
        <f>LEFT(SearchData[[#This Row],[userId]],8)</f>
        <v>cef2b19d</v>
      </c>
    </row>
    <row r="4" spans="1:8">
      <c r="A4" t="s">
        <v>140</v>
      </c>
      <c r="B4" t="s">
        <v>137</v>
      </c>
      <c r="C4" s="5">
        <v>45811.939562349537</v>
      </c>
      <c r="D4">
        <v>620</v>
      </c>
      <c r="E4" s="3" t="s">
        <v>141</v>
      </c>
      <c r="F4" s="12">
        <f t="shared" si="0"/>
        <v>45811.606229016201</v>
      </c>
      <c r="G4" s="10" t="str">
        <f t="shared" si="1"/>
        <v>14:30:00</v>
      </c>
      <c r="H4" t="str">
        <f>LEFT(SearchData[[#This Row],[userId]],8)</f>
        <v>fb7d1ae3</v>
      </c>
    </row>
    <row r="5" spans="1:8">
      <c r="A5" t="s">
        <v>142</v>
      </c>
      <c r="B5" t="s">
        <v>139</v>
      </c>
      <c r="C5" s="5">
        <v>45811.916077071757</v>
      </c>
      <c r="D5">
        <v>0</v>
      </c>
      <c r="E5" s="3" t="s">
        <v>7</v>
      </c>
      <c r="F5" s="12">
        <f t="shared" si="0"/>
        <v>45811.582743738421</v>
      </c>
      <c r="G5" s="10" t="str">
        <f t="shared" si="1"/>
        <v>14:00:00</v>
      </c>
      <c r="H5" t="str">
        <f>LEFT(SearchData[[#This Row],[userId]],8)</f>
        <v>cef2b19d</v>
      </c>
    </row>
    <row r="6" spans="1:8">
      <c r="A6" t="s">
        <v>143</v>
      </c>
      <c r="B6" t="s">
        <v>137</v>
      </c>
      <c r="C6" s="5">
        <v>45811.875466412035</v>
      </c>
      <c r="D6">
        <v>620</v>
      </c>
      <c r="E6" s="3" t="s">
        <v>144</v>
      </c>
      <c r="F6" s="12">
        <f t="shared" si="0"/>
        <v>45811.542133078699</v>
      </c>
      <c r="G6" s="10" t="str">
        <f t="shared" si="1"/>
        <v>13:00:00</v>
      </c>
      <c r="H6" t="str">
        <f>LEFT(SearchData[[#This Row],[userId]],8)</f>
        <v>fb7d1ae3</v>
      </c>
    </row>
    <row r="7" spans="1:8">
      <c r="A7" t="s">
        <v>145</v>
      </c>
      <c r="B7" t="s">
        <v>137</v>
      </c>
      <c r="C7" s="5">
        <v>45811.872104849535</v>
      </c>
      <c r="D7">
        <v>620</v>
      </c>
      <c r="E7" s="3" t="s">
        <v>144</v>
      </c>
      <c r="F7" s="12">
        <f t="shared" si="0"/>
        <v>45811.5387715162</v>
      </c>
      <c r="G7" s="10" t="str">
        <f t="shared" si="1"/>
        <v>13:00:00</v>
      </c>
      <c r="H7" t="str">
        <f>LEFT(SearchData[[#This Row],[userId]],8)</f>
        <v>fb7d1ae3</v>
      </c>
    </row>
    <row r="8" spans="1:8">
      <c r="A8" t="s">
        <v>146</v>
      </c>
      <c r="B8" t="s">
        <v>137</v>
      </c>
      <c r="C8" s="5">
        <v>45811.818258761574</v>
      </c>
      <c r="D8">
        <v>620</v>
      </c>
      <c r="E8" s="3" t="s">
        <v>144</v>
      </c>
      <c r="F8" s="12">
        <f t="shared" si="0"/>
        <v>45811.484925428238</v>
      </c>
      <c r="G8" s="10" t="str">
        <f t="shared" si="1"/>
        <v>11:45:00</v>
      </c>
      <c r="H8" t="str">
        <f>LEFT(SearchData[[#This Row],[userId]],8)</f>
        <v>fb7d1ae3</v>
      </c>
    </row>
    <row r="9" spans="1:8">
      <c r="A9" t="s">
        <v>147</v>
      </c>
      <c r="B9" t="s">
        <v>137</v>
      </c>
      <c r="C9" s="5">
        <v>45810.991287280092</v>
      </c>
      <c r="D9">
        <v>128</v>
      </c>
      <c r="E9" s="3" t="s">
        <v>14</v>
      </c>
      <c r="F9" s="12">
        <f t="shared" si="0"/>
        <v>45810.657953946757</v>
      </c>
      <c r="G9" s="10" t="str">
        <f t="shared" si="1"/>
        <v>15:45:00</v>
      </c>
      <c r="H9" t="str">
        <f>LEFT(SearchData[[#This Row],[userId]],8)</f>
        <v>fb7d1ae3</v>
      </c>
    </row>
    <row r="10" spans="1:8">
      <c r="A10" t="s">
        <v>148</v>
      </c>
      <c r="B10" t="s">
        <v>149</v>
      </c>
      <c r="C10" s="5">
        <v>45810.717901631942</v>
      </c>
      <c r="D10">
        <v>633</v>
      </c>
      <c r="E10" s="3" t="s">
        <v>7</v>
      </c>
      <c r="F10" s="12">
        <f t="shared" si="0"/>
        <v>45810.384568298607</v>
      </c>
      <c r="G10" s="10" t="str">
        <f t="shared" si="1"/>
        <v>09:15:00</v>
      </c>
      <c r="H10" t="str">
        <f>LEFT(SearchData[[#This Row],[userId]],8)</f>
        <v>c2373a46</v>
      </c>
    </row>
    <row r="11" spans="1:8">
      <c r="A11" t="s">
        <v>150</v>
      </c>
      <c r="B11" t="s">
        <v>137</v>
      </c>
      <c r="C11" s="5">
        <v>45810.678101770834</v>
      </c>
      <c r="D11">
        <v>620</v>
      </c>
      <c r="E11" s="3" t="s">
        <v>13</v>
      </c>
      <c r="F11" s="12">
        <f t="shared" si="0"/>
        <v>45810.344768437499</v>
      </c>
      <c r="G11" s="10" t="str">
        <f t="shared" si="1"/>
        <v>08:15:00</v>
      </c>
      <c r="H11" t="str">
        <f>LEFT(SearchData[[#This Row],[userId]],8)</f>
        <v>fb7d1ae3</v>
      </c>
    </row>
    <row r="12" spans="1:8">
      <c r="A12" t="s">
        <v>151</v>
      </c>
      <c r="B12" t="s">
        <v>137</v>
      </c>
      <c r="C12" s="5">
        <v>45810.665375335651</v>
      </c>
      <c r="D12">
        <v>620</v>
      </c>
      <c r="E12" s="3" t="s">
        <v>13</v>
      </c>
      <c r="F12" s="12">
        <f t="shared" si="0"/>
        <v>45810.332042002316</v>
      </c>
      <c r="G12" s="10" t="str">
        <f t="shared" si="1"/>
        <v>08:00:00</v>
      </c>
      <c r="H12" t="str">
        <f>LEFT(SearchData[[#This Row],[userId]],8)</f>
        <v>fb7d1ae3</v>
      </c>
    </row>
    <row r="13" spans="1:8">
      <c r="A13" t="s">
        <v>152</v>
      </c>
      <c r="B13" t="s">
        <v>137</v>
      </c>
      <c r="C13" s="5">
        <v>45809.920653842593</v>
      </c>
      <c r="D13">
        <v>620</v>
      </c>
      <c r="E13" s="3" t="s">
        <v>12</v>
      </c>
      <c r="F13" s="12">
        <f t="shared" si="0"/>
        <v>45809.587320509258</v>
      </c>
      <c r="G13" s="10" t="str">
        <f t="shared" si="1"/>
        <v>14:00:00</v>
      </c>
      <c r="H13" t="str">
        <f>LEFT(SearchData[[#This Row],[userId]],8)</f>
        <v>fb7d1ae3</v>
      </c>
    </row>
    <row r="14" spans="1:8">
      <c r="A14" t="s">
        <v>153</v>
      </c>
      <c r="B14" t="s">
        <v>137</v>
      </c>
      <c r="C14" s="5">
        <v>45807.907046192129</v>
      </c>
      <c r="D14">
        <v>620</v>
      </c>
      <c r="E14" s="3" t="s">
        <v>154</v>
      </c>
      <c r="F14" s="12">
        <f t="shared" si="0"/>
        <v>45807.573712858793</v>
      </c>
      <c r="G14" s="10" t="str">
        <f t="shared" si="1"/>
        <v>13:45:00</v>
      </c>
      <c r="H14" t="str">
        <f>LEFT(SearchData[[#This Row],[userId]],8)</f>
        <v>fb7d1ae3</v>
      </c>
    </row>
    <row r="15" spans="1:8">
      <c r="A15" t="s">
        <v>155</v>
      </c>
      <c r="B15" t="s">
        <v>137</v>
      </c>
      <c r="C15" s="5">
        <v>45807.726224988422</v>
      </c>
      <c r="D15">
        <v>620</v>
      </c>
      <c r="E15" s="3" t="s">
        <v>156</v>
      </c>
      <c r="F15" s="12">
        <f t="shared" si="0"/>
        <v>45807.392891655087</v>
      </c>
      <c r="G15" s="10" t="str">
        <f t="shared" si="1"/>
        <v>09:30:00</v>
      </c>
      <c r="H15" t="str">
        <f>LEFT(SearchData[[#This Row],[userId]],8)</f>
        <v>fb7d1ae3</v>
      </c>
    </row>
    <row r="16" spans="1:8">
      <c r="A16" t="s">
        <v>157</v>
      </c>
      <c r="B16" t="s">
        <v>149</v>
      </c>
      <c r="C16" s="5">
        <v>45812.982827662039</v>
      </c>
      <c r="D16">
        <v>689</v>
      </c>
      <c r="E16" s="3" t="s">
        <v>5</v>
      </c>
      <c r="F16" s="12">
        <f t="shared" si="0"/>
        <v>45812.649494328703</v>
      </c>
      <c r="G16" s="10" t="str">
        <f t="shared" si="1"/>
        <v>15:30:00</v>
      </c>
      <c r="H16" t="str">
        <f>LEFT(SearchData[[#This Row],[userId]],8)</f>
        <v>c2373a46</v>
      </c>
    </row>
    <row r="17" spans="1:8">
      <c r="A17" t="s">
        <v>158</v>
      </c>
      <c r="B17" t="s">
        <v>159</v>
      </c>
      <c r="C17" s="5">
        <v>45812.992090844906</v>
      </c>
      <c r="D17">
        <v>0</v>
      </c>
      <c r="E17" s="3" t="s">
        <v>7</v>
      </c>
      <c r="F17" s="12">
        <f t="shared" si="0"/>
        <v>45812.65875751157</v>
      </c>
      <c r="G17" s="10" t="str">
        <f t="shared" si="1"/>
        <v>15:45:00</v>
      </c>
      <c r="H17" t="str">
        <f>LEFT(SearchData[[#This Row],[userId]],8)</f>
        <v>98a65d8a</v>
      </c>
    </row>
    <row r="18" spans="1:8">
      <c r="A18" t="s">
        <v>160</v>
      </c>
      <c r="B18" t="s">
        <v>137</v>
      </c>
      <c r="C18" s="5">
        <v>45813.716041284722</v>
      </c>
      <c r="D18">
        <v>626</v>
      </c>
      <c r="E18" s="3" t="s">
        <v>144</v>
      </c>
      <c r="F18" s="12">
        <f t="shared" si="0"/>
        <v>45813.382707951387</v>
      </c>
      <c r="G18" s="10" t="str">
        <f t="shared" si="1"/>
        <v>09:15:00</v>
      </c>
      <c r="H18" t="str">
        <f>LEFT(SearchData[[#This Row],[userId]],8)</f>
        <v>fb7d1ae3</v>
      </c>
    </row>
    <row r="19" spans="1:8">
      <c r="A19" t="s">
        <v>161</v>
      </c>
      <c r="B19" t="s">
        <v>137</v>
      </c>
      <c r="C19" s="5">
        <v>45813.795749733799</v>
      </c>
      <c r="D19">
        <v>626</v>
      </c>
      <c r="E19" s="3" t="s">
        <v>162</v>
      </c>
      <c r="F19" s="12">
        <f t="shared" si="0"/>
        <v>45813.462416400464</v>
      </c>
      <c r="G19" s="10" t="str">
        <f t="shared" si="1"/>
        <v>11:00:00</v>
      </c>
      <c r="H19" t="str">
        <f>LEFT(SearchData[[#This Row],[userId]],8)</f>
        <v>fb7d1ae3</v>
      </c>
    </row>
    <row r="20" spans="1:8">
      <c r="A20" t="s">
        <v>163</v>
      </c>
      <c r="B20" t="s">
        <v>137</v>
      </c>
      <c r="C20" s="5">
        <v>45813.845138356482</v>
      </c>
      <c r="D20">
        <v>626</v>
      </c>
      <c r="E20" s="3" t="s">
        <v>162</v>
      </c>
      <c r="F20" s="12">
        <f t="shared" si="0"/>
        <v>45813.511805023147</v>
      </c>
      <c r="G20" s="10" t="str">
        <f t="shared" si="1"/>
        <v>12:15:00</v>
      </c>
      <c r="H20" t="str">
        <f>LEFT(SearchData[[#This Row],[userId]],8)</f>
        <v>fb7d1ae3</v>
      </c>
    </row>
    <row r="21" spans="1:8">
      <c r="A21" t="s">
        <v>164</v>
      </c>
      <c r="B21" t="s">
        <v>137</v>
      </c>
      <c r="C21" s="5">
        <v>45813.882184340277</v>
      </c>
      <c r="D21">
        <v>626</v>
      </c>
      <c r="E21" s="3" t="s">
        <v>165</v>
      </c>
      <c r="F21" s="12">
        <f t="shared" si="0"/>
        <v>45813.548851006941</v>
      </c>
      <c r="G21" s="10" t="str">
        <f t="shared" si="1"/>
        <v>13:15:00</v>
      </c>
      <c r="H21" t="str">
        <f>LEFT(SearchData[[#This Row],[userId]],8)</f>
        <v>fb7d1ae3</v>
      </c>
    </row>
    <row r="22" spans="1:8">
      <c r="A22" t="s">
        <v>166</v>
      </c>
      <c r="B22" t="s">
        <v>137</v>
      </c>
      <c r="C22" s="5">
        <v>45813.958679120369</v>
      </c>
      <c r="D22">
        <v>626</v>
      </c>
      <c r="E22" s="3" t="s">
        <v>167</v>
      </c>
      <c r="F22" s="12">
        <f t="shared" si="0"/>
        <v>45813.625345787033</v>
      </c>
      <c r="G22" s="10" t="str">
        <f t="shared" si="1"/>
        <v>15:00:00</v>
      </c>
      <c r="H22" t="str">
        <f>LEFT(SearchData[[#This Row],[userId]],8)</f>
        <v>fb7d1ae3</v>
      </c>
    </row>
    <row r="23" spans="1:8">
      <c r="A23" t="s">
        <v>168</v>
      </c>
      <c r="B23" t="s">
        <v>137</v>
      </c>
      <c r="C23" s="5">
        <v>45814.642418391202</v>
      </c>
      <c r="D23">
        <v>626</v>
      </c>
      <c r="E23" s="3" t="s">
        <v>167</v>
      </c>
      <c r="F23" s="12">
        <f t="shared" si="0"/>
        <v>45814.309085057866</v>
      </c>
      <c r="G23" s="10" t="str">
        <f t="shared" si="1"/>
        <v>07:30:00</v>
      </c>
      <c r="H23" t="str">
        <f>LEFT(SearchData[[#This Row],[userId]],8)</f>
        <v>fb7d1ae3</v>
      </c>
    </row>
    <row r="24" spans="1:8">
      <c r="A24" t="s">
        <v>169</v>
      </c>
      <c r="B24" t="s">
        <v>137</v>
      </c>
      <c r="C24" s="5">
        <v>45814.646779432871</v>
      </c>
      <c r="D24">
        <v>626</v>
      </c>
      <c r="E24" s="3" t="s">
        <v>13</v>
      </c>
      <c r="F24" s="12">
        <f t="shared" si="0"/>
        <v>45814.313446099535</v>
      </c>
      <c r="G24" s="10" t="str">
        <f t="shared" si="1"/>
        <v>07:30:00</v>
      </c>
      <c r="H24" t="str">
        <f>LEFT(SearchData[[#This Row],[userId]],8)</f>
        <v>fb7d1ae3</v>
      </c>
    </row>
    <row r="25" spans="1:8">
      <c r="A25" t="s">
        <v>170</v>
      </c>
      <c r="B25" t="s">
        <v>137</v>
      </c>
      <c r="C25" s="5">
        <v>45814.679155370373</v>
      </c>
      <c r="D25">
        <v>3874</v>
      </c>
      <c r="E25" s="3" t="s">
        <v>167</v>
      </c>
      <c r="F25" s="12">
        <f t="shared" si="0"/>
        <v>45814.345822037038</v>
      </c>
      <c r="G25" s="10" t="str">
        <f t="shared" si="1"/>
        <v>08:15:00</v>
      </c>
      <c r="H25" t="str">
        <f>LEFT(SearchData[[#This Row],[userId]],8)</f>
        <v>fb7d1ae3</v>
      </c>
    </row>
    <row r="26" spans="1:8">
      <c r="A26" t="s">
        <v>171</v>
      </c>
      <c r="B26" t="s">
        <v>137</v>
      </c>
      <c r="C26" s="5">
        <v>45814.679818020835</v>
      </c>
      <c r="D26">
        <v>3874</v>
      </c>
      <c r="E26" s="3" t="s">
        <v>13</v>
      </c>
      <c r="F26" s="12">
        <f t="shared" si="0"/>
        <v>45814.346484687499</v>
      </c>
      <c r="G26" s="10" t="str">
        <f t="shared" si="1"/>
        <v>08:15:00</v>
      </c>
      <c r="H26" t="str">
        <f>LEFT(SearchData[[#This Row],[userId]],8)</f>
        <v>fb7d1ae3</v>
      </c>
    </row>
    <row r="27" spans="1:8">
      <c r="A27" t="s">
        <v>172</v>
      </c>
      <c r="B27" t="s">
        <v>137</v>
      </c>
      <c r="C27" s="5">
        <v>45814.70410224537</v>
      </c>
      <c r="D27">
        <v>3874</v>
      </c>
      <c r="E27" s="3" t="s">
        <v>173</v>
      </c>
      <c r="F27" s="12">
        <f t="shared" si="0"/>
        <v>45814.370768912035</v>
      </c>
      <c r="G27" s="10" t="str">
        <f t="shared" si="1"/>
        <v>09:00:00</v>
      </c>
      <c r="H27" t="str">
        <f>LEFT(SearchData[[#This Row],[userId]],8)</f>
        <v>fb7d1ae3</v>
      </c>
    </row>
    <row r="28" spans="1:8">
      <c r="A28" t="s">
        <v>174</v>
      </c>
      <c r="B28" t="s">
        <v>137</v>
      </c>
      <c r="C28" s="5">
        <v>45814.769005254631</v>
      </c>
      <c r="D28">
        <v>3874</v>
      </c>
      <c r="E28" s="3" t="s">
        <v>144</v>
      </c>
      <c r="F28" s="12">
        <f t="shared" si="0"/>
        <v>45814.435671921296</v>
      </c>
      <c r="G28" s="10" t="str">
        <f t="shared" si="1"/>
        <v>10:30:00</v>
      </c>
      <c r="H28" t="str">
        <f>LEFT(SearchData[[#This Row],[userId]],8)</f>
        <v>fb7d1ae3</v>
      </c>
    </row>
    <row r="29" spans="1:8">
      <c r="A29" t="s">
        <v>175</v>
      </c>
      <c r="B29" t="s">
        <v>137</v>
      </c>
      <c r="C29" s="5">
        <v>45817.191943749996</v>
      </c>
      <c r="D29">
        <v>3876</v>
      </c>
      <c r="E29" s="3" t="s">
        <v>176</v>
      </c>
      <c r="F29" s="12">
        <f t="shared" si="0"/>
        <v>45816.858610416661</v>
      </c>
      <c r="G29" s="10" t="str">
        <f t="shared" si="1"/>
        <v>20:30:00</v>
      </c>
      <c r="H29" t="str">
        <f>LEFT(SearchData[[#This Row],[userId]],8)</f>
        <v>fb7d1ae3</v>
      </c>
    </row>
    <row r="30" spans="1:8">
      <c r="A30" t="s">
        <v>177</v>
      </c>
      <c r="B30" t="s">
        <v>137</v>
      </c>
      <c r="C30" s="5">
        <v>45817.661078969904</v>
      </c>
      <c r="D30">
        <v>84379</v>
      </c>
      <c r="E30" s="3" t="s">
        <v>162</v>
      </c>
      <c r="F30" s="12">
        <f t="shared" si="0"/>
        <v>45817.327745636569</v>
      </c>
      <c r="G30" s="10" t="str">
        <f t="shared" si="1"/>
        <v>07:45:00</v>
      </c>
      <c r="H30" t="str">
        <f>LEFT(SearchData[[#This Row],[userId]],8)</f>
        <v>fb7d1ae3</v>
      </c>
    </row>
    <row r="31" spans="1:8">
      <c r="A31" t="s">
        <v>178</v>
      </c>
      <c r="B31" t="s">
        <v>137</v>
      </c>
      <c r="C31" s="5">
        <v>45817.749612962965</v>
      </c>
      <c r="D31">
        <v>166</v>
      </c>
      <c r="E31" s="3" t="s">
        <v>179</v>
      </c>
      <c r="F31" s="12">
        <f t="shared" si="0"/>
        <v>45817.41627962963</v>
      </c>
      <c r="G31" s="10" t="str">
        <f t="shared" si="1"/>
        <v>10:00:00</v>
      </c>
      <c r="H31" t="str">
        <f>LEFT(SearchData[[#This Row],[userId]],8)</f>
        <v>fb7d1ae3</v>
      </c>
    </row>
    <row r="32" spans="1:8">
      <c r="A32" t="s">
        <v>180</v>
      </c>
      <c r="B32" t="s">
        <v>137</v>
      </c>
      <c r="C32" s="5">
        <v>45817.751070196762</v>
      </c>
      <c r="D32">
        <v>3878</v>
      </c>
      <c r="E32" s="3" t="s">
        <v>179</v>
      </c>
      <c r="F32" s="12">
        <f t="shared" si="0"/>
        <v>45817.417736863426</v>
      </c>
      <c r="G32" s="10" t="str">
        <f t="shared" si="1"/>
        <v>10:00:00</v>
      </c>
      <c r="H32" t="str">
        <f>LEFT(SearchData[[#This Row],[userId]],8)</f>
        <v>fb7d1ae3</v>
      </c>
    </row>
    <row r="33" spans="1:8">
      <c r="A33" t="s">
        <v>181</v>
      </c>
      <c r="B33" t="s">
        <v>137</v>
      </c>
      <c r="C33" s="5">
        <v>45817.951203321762</v>
      </c>
      <c r="D33">
        <v>3878</v>
      </c>
      <c r="E33" s="3" t="s">
        <v>182</v>
      </c>
      <c r="F33" s="12">
        <f t="shared" si="0"/>
        <v>45817.617869988426</v>
      </c>
      <c r="G33" s="10" t="str">
        <f t="shared" si="1"/>
        <v>14:45:00</v>
      </c>
      <c r="H33" t="str">
        <f>LEFT(SearchData[[#This Row],[userId]],8)</f>
        <v>fb7d1ae3</v>
      </c>
    </row>
    <row r="34" spans="1:8">
      <c r="A34" t="s">
        <v>183</v>
      </c>
      <c r="B34" t="s">
        <v>137</v>
      </c>
      <c r="C34" s="5">
        <v>45817.99410113426</v>
      </c>
      <c r="D34">
        <v>3878</v>
      </c>
      <c r="E34" s="3" t="s">
        <v>162</v>
      </c>
      <c r="F34" s="12">
        <f t="shared" si="0"/>
        <v>45817.660767800924</v>
      </c>
      <c r="G34" s="10" t="str">
        <f t="shared" si="1"/>
        <v>15:45:00</v>
      </c>
      <c r="H34" t="str">
        <f>LEFT(SearchData[[#This Row],[userId]],8)</f>
        <v>fb7d1ae3</v>
      </c>
    </row>
    <row r="35" spans="1:8">
      <c r="A35" t="s">
        <v>184</v>
      </c>
      <c r="B35" t="s">
        <v>149</v>
      </c>
      <c r="C35" s="5">
        <v>45818.901420752314</v>
      </c>
      <c r="D35">
        <v>3962</v>
      </c>
      <c r="E35" s="3" t="s">
        <v>7</v>
      </c>
      <c r="F35" s="12">
        <f t="shared" si="0"/>
        <v>45818.568087418978</v>
      </c>
      <c r="G35" s="10" t="str">
        <f t="shared" si="1"/>
        <v>13:45:00</v>
      </c>
      <c r="H35" t="str">
        <f>LEFT(SearchData[[#This Row],[userId]],8)</f>
        <v>c2373a46</v>
      </c>
    </row>
    <row r="36" spans="1:8">
      <c r="A36" t="s">
        <v>185</v>
      </c>
      <c r="B36" t="s">
        <v>159</v>
      </c>
      <c r="C36" s="5">
        <v>45819.345594999999</v>
      </c>
      <c r="D36">
        <v>0</v>
      </c>
      <c r="E36" s="3" t="s">
        <v>186</v>
      </c>
      <c r="F36" s="12">
        <f t="shared" si="0"/>
        <v>45819.012261666663</v>
      </c>
      <c r="G36" s="10" t="str">
        <f t="shared" si="1"/>
        <v>00:15:00</v>
      </c>
      <c r="H36" t="str">
        <f>LEFT(SearchData[[#This Row],[userId]],8)</f>
        <v>98a65d8a</v>
      </c>
    </row>
    <row r="37" spans="1:8">
      <c r="A37" t="s">
        <v>187</v>
      </c>
      <c r="B37" t="s">
        <v>149</v>
      </c>
      <c r="C37" s="5">
        <v>45819.709997511571</v>
      </c>
      <c r="D37">
        <v>3962</v>
      </c>
      <c r="E37" s="3" t="s">
        <v>7</v>
      </c>
      <c r="F37" s="12">
        <f t="shared" si="0"/>
        <v>45819.376664178235</v>
      </c>
      <c r="G37" s="10" t="str">
        <f t="shared" si="1"/>
        <v>09:00:00</v>
      </c>
      <c r="H37" t="str">
        <f>LEFT(SearchData[[#This Row],[userId]],8)</f>
        <v>c2373a46</v>
      </c>
    </row>
    <row r="38" spans="1:8">
      <c r="A38" t="s">
        <v>188</v>
      </c>
      <c r="B38" t="s">
        <v>137</v>
      </c>
      <c r="C38" s="5">
        <v>45819.822844895833</v>
      </c>
      <c r="D38">
        <v>3880</v>
      </c>
      <c r="E38" s="3" t="s">
        <v>189</v>
      </c>
      <c r="F38" s="12">
        <f t="shared" si="0"/>
        <v>45819.489511562497</v>
      </c>
      <c r="G38" s="10" t="str">
        <f t="shared" si="1"/>
        <v>11:45:00</v>
      </c>
      <c r="H38" t="str">
        <f>LEFT(SearchData[[#This Row],[userId]],8)</f>
        <v>fb7d1ae3</v>
      </c>
    </row>
    <row r="39" spans="1:8">
      <c r="A39" t="s">
        <v>190</v>
      </c>
      <c r="B39" t="s">
        <v>137</v>
      </c>
      <c r="C39" s="5">
        <v>45819.839367812499</v>
      </c>
      <c r="D39">
        <v>3880</v>
      </c>
      <c r="E39" s="3" t="s">
        <v>189</v>
      </c>
      <c r="F39" s="12">
        <f t="shared" si="0"/>
        <v>45819.506034479164</v>
      </c>
      <c r="G39" s="10" t="str">
        <f t="shared" si="1"/>
        <v>12:15:00</v>
      </c>
      <c r="H39" t="str">
        <f>LEFT(SearchData[[#This Row],[userId]],8)</f>
        <v>fb7d1ae3</v>
      </c>
    </row>
    <row r="40" spans="1:8">
      <c r="A40" t="s">
        <v>191</v>
      </c>
      <c r="B40" t="s">
        <v>192</v>
      </c>
      <c r="C40" s="5">
        <v>45819.990260335646</v>
      </c>
      <c r="D40">
        <v>3880</v>
      </c>
      <c r="E40" s="3" t="s">
        <v>193</v>
      </c>
      <c r="F40" s="12">
        <f t="shared" si="0"/>
        <v>45819.65692700231</v>
      </c>
      <c r="G40" s="10" t="str">
        <f t="shared" si="1"/>
        <v>15:45:00</v>
      </c>
      <c r="H40" t="str">
        <f>LEFT(SearchData[[#This Row],[userId]],8)</f>
        <v>fbfa025f</v>
      </c>
    </row>
    <row r="41" spans="1:8">
      <c r="A41" t="s">
        <v>194</v>
      </c>
      <c r="B41" t="s">
        <v>192</v>
      </c>
      <c r="C41" s="5">
        <v>45819.991949884257</v>
      </c>
      <c r="D41">
        <v>3880</v>
      </c>
      <c r="E41" s="3" t="s">
        <v>195</v>
      </c>
      <c r="F41" s="12">
        <f t="shared" si="0"/>
        <v>45819.658616550922</v>
      </c>
      <c r="G41" s="10" t="str">
        <f t="shared" si="1"/>
        <v>15:45:00</v>
      </c>
      <c r="H41" t="str">
        <f>LEFT(SearchData[[#This Row],[userId]],8)</f>
        <v>fbfa025f</v>
      </c>
    </row>
    <row r="42" spans="1:8">
      <c r="A42" t="s">
        <v>196</v>
      </c>
      <c r="B42" t="s">
        <v>137</v>
      </c>
      <c r="C42" s="5">
        <v>45824.60573516204</v>
      </c>
      <c r="D42">
        <v>3882</v>
      </c>
      <c r="E42" s="3" t="s">
        <v>13</v>
      </c>
      <c r="F42" s="12">
        <f t="shared" si="0"/>
        <v>45824.272401828704</v>
      </c>
      <c r="G42" s="10" t="str">
        <f t="shared" si="1"/>
        <v>06:30:00</v>
      </c>
      <c r="H42" t="str">
        <f>LEFT(SearchData[[#This Row],[userId]],8)</f>
        <v>fb7d1ae3</v>
      </c>
    </row>
    <row r="43" spans="1:8">
      <c r="A43" t="s">
        <v>197</v>
      </c>
      <c r="B43" t="s">
        <v>137</v>
      </c>
      <c r="C43" s="5">
        <v>45824.652746053238</v>
      </c>
      <c r="D43">
        <v>151</v>
      </c>
      <c r="E43" s="3" t="s">
        <v>14</v>
      </c>
      <c r="F43" s="12">
        <f t="shared" si="0"/>
        <v>45824.319412719902</v>
      </c>
      <c r="G43" s="10" t="str">
        <f t="shared" si="1"/>
        <v>07:45:00</v>
      </c>
      <c r="H43" t="str">
        <f>LEFT(SearchData[[#This Row],[userId]],8)</f>
        <v>fb7d1ae3</v>
      </c>
    </row>
    <row r="44" spans="1:8">
      <c r="A44" t="s">
        <v>198</v>
      </c>
      <c r="B44" t="s">
        <v>137</v>
      </c>
      <c r="C44" s="5">
        <v>45824.736626111109</v>
      </c>
      <c r="D44">
        <v>3882</v>
      </c>
      <c r="E44" s="3" t="s">
        <v>13</v>
      </c>
      <c r="F44" s="12">
        <f t="shared" si="0"/>
        <v>45824.403292777773</v>
      </c>
      <c r="G44" s="10" t="str">
        <f t="shared" si="1"/>
        <v>09:45:00</v>
      </c>
      <c r="H44" t="str">
        <f>LEFT(SearchData[[#This Row],[userId]],8)</f>
        <v>fb7d1ae3</v>
      </c>
    </row>
    <row r="45" spans="1:8">
      <c r="A45" t="s">
        <v>199</v>
      </c>
      <c r="B45" t="s">
        <v>137</v>
      </c>
      <c r="C45" s="5">
        <v>45825.655416574074</v>
      </c>
      <c r="D45">
        <v>3871</v>
      </c>
      <c r="E45" s="3" t="s">
        <v>13</v>
      </c>
      <c r="F45" s="12">
        <f t="shared" si="0"/>
        <v>45825.322083240739</v>
      </c>
      <c r="G45" s="10" t="str">
        <f t="shared" si="1"/>
        <v>07:45:00</v>
      </c>
      <c r="H45" t="str">
        <f>LEFT(SearchData[[#This Row],[userId]],8)</f>
        <v>fb7d1ae3</v>
      </c>
    </row>
    <row r="46" spans="1:8">
      <c r="A46" t="s">
        <v>200</v>
      </c>
      <c r="B46" t="s">
        <v>137</v>
      </c>
      <c r="C46" s="5">
        <v>45825.677855243055</v>
      </c>
      <c r="D46">
        <v>3871</v>
      </c>
      <c r="E46" s="3" t="s">
        <v>201</v>
      </c>
      <c r="F46" s="12">
        <f t="shared" si="0"/>
        <v>45825.344521909719</v>
      </c>
      <c r="G46" s="10" t="str">
        <f t="shared" si="1"/>
        <v>08:15:00</v>
      </c>
      <c r="H46" t="str">
        <f>LEFT(SearchData[[#This Row],[userId]],8)</f>
        <v>fb7d1ae3</v>
      </c>
    </row>
    <row r="47" spans="1:8">
      <c r="A47" t="s">
        <v>202</v>
      </c>
      <c r="B47" t="s">
        <v>203</v>
      </c>
      <c r="C47" s="5">
        <v>45825.683063645833</v>
      </c>
      <c r="D47">
        <v>3871</v>
      </c>
      <c r="E47" s="3" t="s">
        <v>201</v>
      </c>
      <c r="F47" s="12">
        <f t="shared" si="0"/>
        <v>45825.349730312497</v>
      </c>
      <c r="G47" s="10" t="str">
        <f t="shared" si="1"/>
        <v>08:30:00</v>
      </c>
      <c r="H47" t="str">
        <f>LEFT(SearchData[[#This Row],[userId]],8)</f>
        <v>5099fed4</v>
      </c>
    </row>
    <row r="48" spans="1:8">
      <c r="A48" t="s">
        <v>204</v>
      </c>
      <c r="B48" t="s">
        <v>203</v>
      </c>
      <c r="C48" s="5">
        <v>45825.720425810185</v>
      </c>
      <c r="D48">
        <v>3871</v>
      </c>
      <c r="E48" s="3" t="s">
        <v>201</v>
      </c>
      <c r="F48" s="12">
        <f t="shared" si="0"/>
        <v>45825.387092476849</v>
      </c>
      <c r="G48" s="10" t="str">
        <f t="shared" si="1"/>
        <v>09:15:00</v>
      </c>
      <c r="H48" t="str">
        <f>LEFT(SearchData[[#This Row],[userId]],8)</f>
        <v>5099fed4</v>
      </c>
    </row>
    <row r="49" spans="1:8">
      <c r="A49" t="s">
        <v>205</v>
      </c>
      <c r="B49" t="s">
        <v>206</v>
      </c>
      <c r="C49" s="5">
        <v>45825.759522511573</v>
      </c>
      <c r="D49">
        <v>30</v>
      </c>
      <c r="E49" s="3" t="s">
        <v>207</v>
      </c>
      <c r="F49" s="12">
        <f t="shared" si="0"/>
        <v>45825.426189178237</v>
      </c>
      <c r="G49" s="10" t="str">
        <f t="shared" si="1"/>
        <v>10:15:00</v>
      </c>
      <c r="H49" t="str">
        <f>LEFT(SearchData[[#This Row],[userId]],8)</f>
        <v>d6f7ed99</v>
      </c>
    </row>
    <row r="50" spans="1:8">
      <c r="A50" t="s">
        <v>208</v>
      </c>
      <c r="B50" t="s">
        <v>206</v>
      </c>
      <c r="C50" s="5">
        <v>45825.759863599538</v>
      </c>
      <c r="D50">
        <v>3871</v>
      </c>
      <c r="E50" s="3" t="s">
        <v>209</v>
      </c>
      <c r="F50" s="12">
        <f t="shared" si="0"/>
        <v>45825.426530266202</v>
      </c>
      <c r="G50" s="10" t="str">
        <f t="shared" si="1"/>
        <v>10:15:00</v>
      </c>
      <c r="H50" t="str">
        <f>LEFT(SearchData[[#This Row],[userId]],8)</f>
        <v>d6f7ed99</v>
      </c>
    </row>
    <row r="51" spans="1:8">
      <c r="A51" t="s">
        <v>210</v>
      </c>
      <c r="B51" t="s">
        <v>203</v>
      </c>
      <c r="C51" s="5">
        <v>45826.596253819444</v>
      </c>
      <c r="D51">
        <v>3873</v>
      </c>
      <c r="E51" s="3" t="s">
        <v>211</v>
      </c>
      <c r="F51" s="12">
        <f t="shared" si="0"/>
        <v>45826.262920486108</v>
      </c>
      <c r="G51" s="10" t="str">
        <f t="shared" si="1"/>
        <v>06:15:00</v>
      </c>
      <c r="H51" t="str">
        <f>LEFT(SearchData[[#This Row],[userId]],8)</f>
        <v>5099fed4</v>
      </c>
    </row>
    <row r="52" spans="1:8">
      <c r="A52" t="s">
        <v>212</v>
      </c>
      <c r="B52" t="s">
        <v>203</v>
      </c>
      <c r="C52" s="5">
        <v>45826.643554085647</v>
      </c>
      <c r="D52">
        <v>3873</v>
      </c>
      <c r="E52" s="3" t="s">
        <v>211</v>
      </c>
      <c r="F52" s="12">
        <f t="shared" si="0"/>
        <v>45826.310220752312</v>
      </c>
      <c r="G52" s="10" t="str">
        <f t="shared" si="1"/>
        <v>07:30:00</v>
      </c>
      <c r="H52" t="str">
        <f>LEFT(SearchData[[#This Row],[userId]],8)</f>
        <v>5099fed4</v>
      </c>
    </row>
    <row r="53" spans="1:8">
      <c r="A53" t="s">
        <v>213</v>
      </c>
      <c r="B53" t="s">
        <v>137</v>
      </c>
      <c r="C53" s="5">
        <v>45826.686088043978</v>
      </c>
      <c r="D53">
        <v>85080</v>
      </c>
      <c r="E53" s="3" t="s">
        <v>162</v>
      </c>
      <c r="F53" s="12">
        <f t="shared" si="0"/>
        <v>45826.352754710642</v>
      </c>
      <c r="G53" s="10" t="str">
        <f t="shared" si="1"/>
        <v>08:30:00</v>
      </c>
      <c r="H53" t="str">
        <f>LEFT(SearchData[[#This Row],[userId]],8)</f>
        <v>fb7d1ae3</v>
      </c>
    </row>
    <row r="54" spans="1:8">
      <c r="A54" t="s">
        <v>214</v>
      </c>
      <c r="B54" t="s">
        <v>203</v>
      </c>
      <c r="C54" s="5">
        <v>45826.715819884259</v>
      </c>
      <c r="D54">
        <v>3873</v>
      </c>
      <c r="E54" s="3" t="s">
        <v>211</v>
      </c>
      <c r="F54" s="12">
        <f t="shared" si="0"/>
        <v>45826.382486550923</v>
      </c>
      <c r="G54" s="10" t="str">
        <f t="shared" si="1"/>
        <v>09:15:00</v>
      </c>
      <c r="H54" t="str">
        <f>LEFT(SearchData[[#This Row],[userId]],8)</f>
        <v>5099fed4</v>
      </c>
    </row>
    <row r="55" spans="1:8">
      <c r="A55" t="s">
        <v>215</v>
      </c>
      <c r="B55" t="s">
        <v>216</v>
      </c>
      <c r="C55" s="5">
        <v>45826.772170509263</v>
      </c>
      <c r="D55">
        <v>0</v>
      </c>
      <c r="E55" s="3" t="s">
        <v>11</v>
      </c>
      <c r="F55" s="12">
        <f t="shared" si="0"/>
        <v>45826.438837175927</v>
      </c>
      <c r="G55" s="10" t="str">
        <f t="shared" si="1"/>
        <v>10:30:00</v>
      </c>
      <c r="H55" t="str">
        <f>LEFT(SearchData[[#This Row],[userId]],8)</f>
        <v>44e5ae6a</v>
      </c>
    </row>
    <row r="56" spans="1:8">
      <c r="A56" t="s">
        <v>217</v>
      </c>
      <c r="B56" t="s">
        <v>216</v>
      </c>
      <c r="C56" s="5">
        <v>45826.774058912037</v>
      </c>
      <c r="D56">
        <v>3873</v>
      </c>
      <c r="E56" s="3" t="s">
        <v>13</v>
      </c>
      <c r="F56" s="12">
        <f t="shared" si="0"/>
        <v>45826.440725578701</v>
      </c>
      <c r="G56" s="10" t="str">
        <f t="shared" si="1"/>
        <v>10:30:00</v>
      </c>
      <c r="H56" t="str">
        <f>LEFT(SearchData[[#This Row],[userId]],8)</f>
        <v>44e5ae6a</v>
      </c>
    </row>
    <row r="57" spans="1:8">
      <c r="A57" t="s">
        <v>218</v>
      </c>
      <c r="B57" t="s">
        <v>216</v>
      </c>
      <c r="C57" s="5">
        <v>45826.783428495371</v>
      </c>
      <c r="D57">
        <v>3873</v>
      </c>
      <c r="E57" s="3" t="s">
        <v>8</v>
      </c>
      <c r="F57" s="12">
        <f t="shared" si="0"/>
        <v>45826.450095162036</v>
      </c>
      <c r="G57" s="10" t="str">
        <f t="shared" si="1"/>
        <v>10:45:00</v>
      </c>
      <c r="H57" t="str">
        <f>LEFT(SearchData[[#This Row],[userId]],8)</f>
        <v>44e5ae6a</v>
      </c>
    </row>
    <row r="58" spans="1:8">
      <c r="A58" t="s">
        <v>219</v>
      </c>
      <c r="B58" t="s">
        <v>220</v>
      </c>
      <c r="C58" s="5">
        <v>45826.816631805559</v>
      </c>
      <c r="D58">
        <v>3875</v>
      </c>
      <c r="E58" s="3" t="s">
        <v>13</v>
      </c>
      <c r="F58" s="12">
        <f t="shared" si="0"/>
        <v>45826.483298472223</v>
      </c>
      <c r="G58" s="10" t="str">
        <f t="shared" si="1"/>
        <v>11:30:00</v>
      </c>
      <c r="H58" t="str">
        <f>LEFT(SearchData[[#This Row],[userId]],8)</f>
        <v>0759d13b</v>
      </c>
    </row>
    <row r="59" spans="1:8">
      <c r="A59" t="s">
        <v>221</v>
      </c>
      <c r="B59" t="s">
        <v>220</v>
      </c>
      <c r="C59" s="5">
        <v>45826.819297175927</v>
      </c>
      <c r="D59">
        <v>3875</v>
      </c>
      <c r="E59" s="3" t="s">
        <v>8</v>
      </c>
      <c r="F59" s="12">
        <f t="shared" si="0"/>
        <v>45826.485963842591</v>
      </c>
      <c r="G59" s="10" t="str">
        <f t="shared" si="1"/>
        <v>11:45:00</v>
      </c>
      <c r="H59" t="str">
        <f>LEFT(SearchData[[#This Row],[userId]],8)</f>
        <v>0759d13b</v>
      </c>
    </row>
    <row r="60" spans="1:8">
      <c r="A60" t="s">
        <v>222</v>
      </c>
      <c r="B60" t="s">
        <v>203</v>
      </c>
      <c r="C60" s="5">
        <v>45826.831026261571</v>
      </c>
      <c r="D60">
        <v>3875</v>
      </c>
      <c r="E60" s="3" t="s">
        <v>211</v>
      </c>
      <c r="F60" s="12">
        <f t="shared" si="0"/>
        <v>45826.497692928235</v>
      </c>
      <c r="G60" s="10" t="str">
        <f t="shared" si="1"/>
        <v>12:00:00</v>
      </c>
      <c r="H60" t="str">
        <f>LEFT(SearchData[[#This Row],[userId]],8)</f>
        <v>5099fed4</v>
      </c>
    </row>
    <row r="61" spans="1:8">
      <c r="A61" t="s">
        <v>223</v>
      </c>
      <c r="B61" t="s">
        <v>216</v>
      </c>
      <c r="C61" s="5">
        <v>45826.856837361112</v>
      </c>
      <c r="D61">
        <v>3877</v>
      </c>
      <c r="E61" s="3" t="s">
        <v>11</v>
      </c>
      <c r="F61" s="12">
        <f t="shared" si="0"/>
        <v>45826.523504027777</v>
      </c>
      <c r="G61" s="10" t="str">
        <f t="shared" si="1"/>
        <v>12:30:00</v>
      </c>
      <c r="H61" t="str">
        <f>LEFT(SearchData[[#This Row],[userId]],8)</f>
        <v>44e5ae6a</v>
      </c>
    </row>
    <row r="62" spans="1:8">
      <c r="A62" t="s">
        <v>224</v>
      </c>
      <c r="B62" t="s">
        <v>203</v>
      </c>
      <c r="C62" s="5">
        <v>45826.869157210647</v>
      </c>
      <c r="D62">
        <v>3877</v>
      </c>
      <c r="E62" s="3" t="s">
        <v>211</v>
      </c>
      <c r="F62" s="12">
        <f t="shared" si="0"/>
        <v>45826.535823877311</v>
      </c>
      <c r="G62" s="10" t="str">
        <f t="shared" si="1"/>
        <v>12:45:00</v>
      </c>
      <c r="H62" t="str">
        <f>LEFT(SearchData[[#This Row],[userId]],8)</f>
        <v>5099fed4</v>
      </c>
    </row>
    <row r="63" spans="1:8">
      <c r="A63" t="s">
        <v>225</v>
      </c>
      <c r="B63" t="s">
        <v>203</v>
      </c>
      <c r="C63" s="5">
        <v>45826.921666875001</v>
      </c>
      <c r="D63">
        <v>3878</v>
      </c>
      <c r="E63" s="3" t="s">
        <v>211</v>
      </c>
      <c r="F63" s="12">
        <f t="shared" si="0"/>
        <v>45826.588333541666</v>
      </c>
      <c r="G63" s="10" t="str">
        <f t="shared" si="1"/>
        <v>14:00:00</v>
      </c>
      <c r="H63" t="str">
        <f>LEFT(SearchData[[#This Row],[userId]],8)</f>
        <v>5099fed4</v>
      </c>
    </row>
    <row r="64" spans="1:8">
      <c r="A64" t="s">
        <v>226</v>
      </c>
      <c r="B64" t="s">
        <v>137</v>
      </c>
      <c r="C64" s="5">
        <v>45826.932025000002</v>
      </c>
      <c r="D64">
        <v>3878</v>
      </c>
      <c r="E64" s="3" t="s">
        <v>173</v>
      </c>
      <c r="F64" s="12">
        <f t="shared" si="0"/>
        <v>45826.598691666666</v>
      </c>
      <c r="G64" s="10" t="str">
        <f t="shared" si="1"/>
        <v>14:15:00</v>
      </c>
      <c r="H64" t="str">
        <f>LEFT(SearchData[[#This Row],[userId]],8)</f>
        <v>fb7d1ae3</v>
      </c>
    </row>
    <row r="65" spans="1:8">
      <c r="A65" t="s">
        <v>227</v>
      </c>
      <c r="B65" t="s">
        <v>228</v>
      </c>
      <c r="C65" s="5">
        <v>45827.661856469909</v>
      </c>
      <c r="D65">
        <v>3880</v>
      </c>
      <c r="E65" s="3" t="s">
        <v>229</v>
      </c>
      <c r="F65" s="12">
        <f t="shared" si="0"/>
        <v>45827.328523136573</v>
      </c>
      <c r="G65" s="10" t="str">
        <f t="shared" si="1"/>
        <v>08:00:00</v>
      </c>
      <c r="H65" t="str">
        <f>LEFT(SearchData[[#This Row],[userId]],8)</f>
        <v>865aaa25</v>
      </c>
    </row>
    <row r="66" spans="1:8">
      <c r="A66" t="s">
        <v>230</v>
      </c>
      <c r="B66" t="s">
        <v>228</v>
      </c>
      <c r="C66" s="5">
        <v>45827.717527592591</v>
      </c>
      <c r="D66">
        <v>3884</v>
      </c>
      <c r="E66" s="3" t="s">
        <v>229</v>
      </c>
      <c r="F66" s="12">
        <f t="shared" ref="F66:F129" si="2">C66-TIME(8,0,0)</f>
        <v>45827.384194259255</v>
      </c>
      <c r="G66" s="10" t="str">
        <f t="shared" ref="G66:G129" si="3">TEXT(MROUND(C66-TIME(8,0,0), "0:15"),"HH:MM:SS")</f>
        <v>09:15:00</v>
      </c>
      <c r="H66" t="str">
        <f>LEFT(SearchData[[#This Row],[userId]],8)</f>
        <v>865aaa25</v>
      </c>
    </row>
    <row r="67" spans="1:8">
      <c r="A67" t="s">
        <v>231</v>
      </c>
      <c r="B67" t="s">
        <v>228</v>
      </c>
      <c r="C67" s="5">
        <v>45827.83719204861</v>
      </c>
      <c r="D67">
        <v>0</v>
      </c>
      <c r="E67" s="3" t="s">
        <v>229</v>
      </c>
      <c r="F67" s="12">
        <f t="shared" si="2"/>
        <v>45827.503858715274</v>
      </c>
      <c r="G67" s="10" t="str">
        <f t="shared" si="3"/>
        <v>12:00:00</v>
      </c>
      <c r="H67" t="str">
        <f>LEFT(SearchData[[#This Row],[userId]],8)</f>
        <v>865aaa25</v>
      </c>
    </row>
    <row r="68" spans="1:8">
      <c r="A68" t="s">
        <v>232</v>
      </c>
      <c r="B68" t="s">
        <v>233</v>
      </c>
      <c r="C68" s="5">
        <v>45828.871457870373</v>
      </c>
      <c r="D68">
        <v>0</v>
      </c>
      <c r="E68" s="3">
        <v>25154601</v>
      </c>
      <c r="F68" s="12">
        <f t="shared" si="2"/>
        <v>45828.538124537037</v>
      </c>
      <c r="G68" s="10" t="str">
        <f t="shared" si="3"/>
        <v>13:00:00</v>
      </c>
      <c r="H68" t="str">
        <f>LEFT(SearchData[[#This Row],[userId]],8)</f>
        <v>01b52c2e</v>
      </c>
    </row>
    <row r="69" spans="1:8">
      <c r="A69" t="s">
        <v>234</v>
      </c>
      <c r="B69" t="s">
        <v>233</v>
      </c>
      <c r="C69" s="5">
        <v>45828.872775671298</v>
      </c>
      <c r="D69">
        <v>0</v>
      </c>
      <c r="E69" s="3">
        <v>25151671</v>
      </c>
      <c r="F69" s="12">
        <f t="shared" si="2"/>
        <v>45828.539442337962</v>
      </c>
      <c r="G69" s="10" t="str">
        <f t="shared" si="3"/>
        <v>13:00:00</v>
      </c>
      <c r="H69" t="str">
        <f>LEFT(SearchData[[#This Row],[userId]],8)</f>
        <v>01b52c2e</v>
      </c>
    </row>
    <row r="70" spans="1:8">
      <c r="A70" t="s">
        <v>235</v>
      </c>
      <c r="B70" t="s">
        <v>233</v>
      </c>
      <c r="C70" s="5">
        <v>45828.872920069443</v>
      </c>
      <c r="D70">
        <v>0</v>
      </c>
      <c r="E70" s="3" t="s">
        <v>236</v>
      </c>
      <c r="F70" s="12">
        <f t="shared" si="2"/>
        <v>45828.539586736108</v>
      </c>
      <c r="G70" s="10" t="str">
        <f t="shared" si="3"/>
        <v>13:00:00</v>
      </c>
      <c r="H70" t="str">
        <f>LEFT(SearchData[[#This Row],[userId]],8)</f>
        <v>01b52c2e</v>
      </c>
    </row>
    <row r="71" spans="1:8">
      <c r="A71" t="s">
        <v>237</v>
      </c>
      <c r="B71" t="s">
        <v>233</v>
      </c>
      <c r="C71" s="5">
        <v>45828.873580694446</v>
      </c>
      <c r="D71">
        <v>0</v>
      </c>
      <c r="E71" s="3" t="s">
        <v>20</v>
      </c>
      <c r="F71" s="12">
        <f t="shared" si="2"/>
        <v>45828.54024736111</v>
      </c>
      <c r="G71" s="10" t="str">
        <f t="shared" si="3"/>
        <v>13:00:00</v>
      </c>
      <c r="H71" t="str">
        <f>LEFT(SearchData[[#This Row],[userId]],8)</f>
        <v>01b52c2e</v>
      </c>
    </row>
    <row r="72" spans="1:8">
      <c r="A72" t="s">
        <v>238</v>
      </c>
      <c r="B72" t="s">
        <v>203</v>
      </c>
      <c r="C72" s="5">
        <v>45830.724170740737</v>
      </c>
      <c r="D72">
        <v>3900</v>
      </c>
      <c r="E72" s="3" t="s">
        <v>129</v>
      </c>
      <c r="F72" s="12">
        <f t="shared" si="2"/>
        <v>45830.390837407402</v>
      </c>
      <c r="G72" s="10" t="str">
        <f t="shared" si="3"/>
        <v>09:30:00</v>
      </c>
      <c r="H72" t="str">
        <f>LEFT(SearchData[[#This Row],[userId]],8)</f>
        <v>5099fed4</v>
      </c>
    </row>
    <row r="73" spans="1:8">
      <c r="A73" t="s">
        <v>239</v>
      </c>
      <c r="B73" t="s">
        <v>137</v>
      </c>
      <c r="C73" s="5">
        <v>45833.074960486112</v>
      </c>
      <c r="D73">
        <v>3881</v>
      </c>
      <c r="E73" s="3" t="s">
        <v>240</v>
      </c>
      <c r="F73" s="12">
        <f t="shared" si="2"/>
        <v>45832.741627152776</v>
      </c>
      <c r="G73" s="10" t="str">
        <f t="shared" si="3"/>
        <v>17:45:00</v>
      </c>
      <c r="H73" t="str">
        <f>LEFT(SearchData[[#This Row],[userId]],8)</f>
        <v>fb7d1ae3</v>
      </c>
    </row>
    <row r="74" spans="1:8">
      <c r="A74" t="s">
        <v>241</v>
      </c>
      <c r="B74" t="s">
        <v>137</v>
      </c>
      <c r="C74" s="5">
        <v>45835.639991458331</v>
      </c>
      <c r="D74">
        <v>3893</v>
      </c>
      <c r="E74" s="3" t="s">
        <v>144</v>
      </c>
      <c r="F74" s="12">
        <f t="shared" si="2"/>
        <v>45835.306658124995</v>
      </c>
      <c r="G74" s="10" t="str">
        <f t="shared" si="3"/>
        <v>07:15:00</v>
      </c>
      <c r="H74" t="str">
        <f>LEFT(SearchData[[#This Row],[userId]],8)</f>
        <v>fb7d1ae3</v>
      </c>
    </row>
    <row r="75" spans="1:8">
      <c r="A75" t="s">
        <v>242</v>
      </c>
      <c r="B75" t="s">
        <v>137</v>
      </c>
      <c r="C75" s="5">
        <v>45835.982833310183</v>
      </c>
      <c r="D75">
        <v>116</v>
      </c>
      <c r="E75" s="3" t="s">
        <v>144</v>
      </c>
      <c r="F75" s="12">
        <f t="shared" si="2"/>
        <v>45835.649499976847</v>
      </c>
      <c r="G75" s="10" t="str">
        <f t="shared" si="3"/>
        <v>15:30:00</v>
      </c>
      <c r="H75" t="str">
        <f>LEFT(SearchData[[#This Row],[userId]],8)</f>
        <v>fb7d1ae3</v>
      </c>
    </row>
    <row r="76" spans="1:8">
      <c r="A76" t="s">
        <v>243</v>
      </c>
      <c r="B76" t="s">
        <v>244</v>
      </c>
      <c r="C76" s="5">
        <v>45837.229289062503</v>
      </c>
      <c r="D76">
        <v>87296</v>
      </c>
      <c r="E76" s="3" t="s">
        <v>245</v>
      </c>
      <c r="F76" s="12">
        <f t="shared" si="2"/>
        <v>45836.895955729167</v>
      </c>
      <c r="G76" s="10" t="str">
        <f t="shared" si="3"/>
        <v>21:30:00</v>
      </c>
      <c r="H76" t="str">
        <f>LEFT(SearchData[[#This Row],[userId]],8)</f>
        <v>ab73a004</v>
      </c>
    </row>
    <row r="77" spans="1:8">
      <c r="A77" t="s">
        <v>246</v>
      </c>
      <c r="B77" t="s">
        <v>233</v>
      </c>
      <c r="C77" s="5">
        <v>45837.796788344909</v>
      </c>
      <c r="D77">
        <v>0</v>
      </c>
      <c r="E77" s="3" t="s">
        <v>13</v>
      </c>
      <c r="F77" s="12">
        <f t="shared" si="2"/>
        <v>45837.463455011573</v>
      </c>
      <c r="G77" s="10" t="str">
        <f t="shared" si="3"/>
        <v>11:00:00</v>
      </c>
      <c r="H77" t="str">
        <f>LEFT(SearchData[[#This Row],[userId]],8)</f>
        <v>01b52c2e</v>
      </c>
    </row>
    <row r="78" spans="1:8">
      <c r="A78" t="s">
        <v>247</v>
      </c>
      <c r="B78" t="s">
        <v>233</v>
      </c>
      <c r="C78" s="5">
        <v>45837.797170879632</v>
      </c>
      <c r="D78">
        <v>0</v>
      </c>
      <c r="E78" s="3" t="s">
        <v>229</v>
      </c>
      <c r="F78" s="12">
        <f t="shared" si="2"/>
        <v>45837.463837546296</v>
      </c>
      <c r="G78" s="10" t="str">
        <f t="shared" si="3"/>
        <v>11:15:00</v>
      </c>
      <c r="H78" t="str">
        <f>LEFT(SearchData[[#This Row],[userId]],8)</f>
        <v>01b52c2e</v>
      </c>
    </row>
    <row r="79" spans="1:8">
      <c r="A79" t="s">
        <v>248</v>
      </c>
      <c r="B79" t="s">
        <v>228</v>
      </c>
      <c r="C79" s="5">
        <v>45837.798901643517</v>
      </c>
      <c r="D79">
        <v>0</v>
      </c>
      <c r="E79" s="3" t="s">
        <v>229</v>
      </c>
      <c r="F79" s="12">
        <f t="shared" si="2"/>
        <v>45837.465568310181</v>
      </c>
      <c r="G79" s="10" t="str">
        <f t="shared" si="3"/>
        <v>11:15:00</v>
      </c>
      <c r="H79" t="str">
        <f>LEFT(SearchData[[#This Row],[userId]],8)</f>
        <v>865aaa25</v>
      </c>
    </row>
    <row r="80" spans="1:8">
      <c r="A80" t="s">
        <v>249</v>
      </c>
      <c r="B80" t="s">
        <v>228</v>
      </c>
      <c r="C80" s="5">
        <v>45837.802029675928</v>
      </c>
      <c r="D80">
        <v>3894</v>
      </c>
      <c r="E80" s="3" t="s">
        <v>250</v>
      </c>
      <c r="F80" s="12">
        <f t="shared" si="2"/>
        <v>45837.468696342592</v>
      </c>
      <c r="G80" s="10" t="str">
        <f t="shared" si="3"/>
        <v>11:15:00</v>
      </c>
      <c r="H80" t="str">
        <f>LEFT(SearchData[[#This Row],[userId]],8)</f>
        <v>865aaa25</v>
      </c>
    </row>
    <row r="81" spans="1:8">
      <c r="A81" t="s">
        <v>251</v>
      </c>
      <c r="B81" t="s">
        <v>233</v>
      </c>
      <c r="C81" s="5">
        <v>45837.816164629628</v>
      </c>
      <c r="D81">
        <v>3894</v>
      </c>
      <c r="E81" s="3" t="s">
        <v>252</v>
      </c>
      <c r="F81" s="12">
        <f t="shared" si="2"/>
        <v>45837.482831296293</v>
      </c>
      <c r="G81" s="10" t="str">
        <f t="shared" si="3"/>
        <v>11:30:00</v>
      </c>
      <c r="H81" t="str">
        <f>LEFT(SearchData[[#This Row],[userId]],8)</f>
        <v>01b52c2e</v>
      </c>
    </row>
    <row r="82" spans="1:8">
      <c r="A82" t="s">
        <v>253</v>
      </c>
      <c r="B82" t="s">
        <v>233</v>
      </c>
      <c r="C82" s="5">
        <v>45837.818096828705</v>
      </c>
      <c r="D82">
        <v>3894</v>
      </c>
      <c r="E82" s="3" t="s">
        <v>254</v>
      </c>
      <c r="F82" s="12">
        <f t="shared" si="2"/>
        <v>45837.484763495369</v>
      </c>
      <c r="G82" s="10" t="str">
        <f t="shared" si="3"/>
        <v>11:45:00</v>
      </c>
      <c r="H82" t="str">
        <f>LEFT(SearchData[[#This Row],[userId]],8)</f>
        <v>01b52c2e</v>
      </c>
    </row>
    <row r="83" spans="1:8">
      <c r="A83" t="s">
        <v>255</v>
      </c>
      <c r="B83" t="s">
        <v>137</v>
      </c>
      <c r="C83" s="5">
        <v>45837.916950995372</v>
      </c>
      <c r="D83">
        <v>3894</v>
      </c>
      <c r="E83" s="3" t="s">
        <v>173</v>
      </c>
      <c r="F83" s="12">
        <f t="shared" si="2"/>
        <v>45837.583617662036</v>
      </c>
      <c r="G83" s="10" t="str">
        <f t="shared" si="3"/>
        <v>14:00:00</v>
      </c>
      <c r="H83" t="str">
        <f>LEFT(SearchData[[#This Row],[userId]],8)</f>
        <v>fb7d1ae3</v>
      </c>
    </row>
    <row r="84" spans="1:8">
      <c r="A84" t="s">
        <v>256</v>
      </c>
      <c r="B84" t="s">
        <v>257</v>
      </c>
      <c r="C84" s="5">
        <v>45838.508752650465</v>
      </c>
      <c r="D84">
        <v>3894</v>
      </c>
      <c r="E84" s="3">
        <v>2504317</v>
      </c>
      <c r="F84" s="12">
        <f t="shared" si="2"/>
        <v>45838.175419317129</v>
      </c>
      <c r="G84" s="10" t="str">
        <f t="shared" si="3"/>
        <v>04:15:00</v>
      </c>
      <c r="H84" t="str">
        <f>LEFT(SearchData[[#This Row],[userId]],8)</f>
        <v>60e012f5</v>
      </c>
    </row>
    <row r="85" spans="1:8">
      <c r="A85" t="s">
        <v>258</v>
      </c>
      <c r="B85" t="s">
        <v>257</v>
      </c>
      <c r="C85" s="5">
        <v>45838.509079490737</v>
      </c>
      <c r="D85">
        <v>3894</v>
      </c>
      <c r="E85" s="3" t="s">
        <v>201</v>
      </c>
      <c r="F85" s="12">
        <f t="shared" si="2"/>
        <v>45838.175746157402</v>
      </c>
      <c r="G85" s="10" t="str">
        <f t="shared" si="3"/>
        <v>04:15:00</v>
      </c>
      <c r="H85" t="str">
        <f>LEFT(SearchData[[#This Row],[userId]],8)</f>
        <v>60e012f5</v>
      </c>
    </row>
    <row r="86" spans="1:8">
      <c r="A86" t="s">
        <v>259</v>
      </c>
      <c r="B86" t="s">
        <v>257</v>
      </c>
      <c r="C86" s="5">
        <v>45839.302430162039</v>
      </c>
      <c r="D86">
        <v>3899</v>
      </c>
      <c r="E86" s="3" t="s">
        <v>260</v>
      </c>
      <c r="F86" s="12">
        <f t="shared" si="2"/>
        <v>45838.969096828703</v>
      </c>
      <c r="G86" s="10" t="str">
        <f t="shared" si="3"/>
        <v>23:15:00</v>
      </c>
      <c r="H86" t="str">
        <f>LEFT(SearchData[[#This Row],[userId]],8)</f>
        <v>60e012f5</v>
      </c>
    </row>
    <row r="87" spans="1:8">
      <c r="A87" t="s">
        <v>261</v>
      </c>
      <c r="B87" t="s">
        <v>262</v>
      </c>
      <c r="C87" s="5">
        <v>45839.305377083336</v>
      </c>
      <c r="D87">
        <v>3899</v>
      </c>
      <c r="E87" s="3" t="s">
        <v>263</v>
      </c>
      <c r="F87" s="12">
        <f t="shared" si="2"/>
        <v>45838.97204375</v>
      </c>
      <c r="G87" s="10" t="str">
        <f t="shared" si="3"/>
        <v>23:15:00</v>
      </c>
      <c r="H87" t="str">
        <f>LEFT(SearchData[[#This Row],[userId]],8)</f>
        <v>bd053b0f</v>
      </c>
    </row>
    <row r="88" spans="1:8">
      <c r="A88" t="s">
        <v>264</v>
      </c>
      <c r="B88" t="s">
        <v>137</v>
      </c>
      <c r="C88" s="5">
        <v>45840.655576064812</v>
      </c>
      <c r="D88">
        <v>118</v>
      </c>
      <c r="E88" s="3" t="s">
        <v>144</v>
      </c>
      <c r="F88" s="12">
        <f t="shared" si="2"/>
        <v>45840.322242731476</v>
      </c>
      <c r="G88" s="10" t="str">
        <f t="shared" si="3"/>
        <v>07:45:00</v>
      </c>
      <c r="H88" t="str">
        <f>LEFT(SearchData[[#This Row],[userId]],8)</f>
        <v>fb7d1ae3</v>
      </c>
    </row>
    <row r="89" spans="1:8">
      <c r="A89" t="s">
        <v>265</v>
      </c>
      <c r="B89" t="s">
        <v>137</v>
      </c>
      <c r="C89" s="5">
        <v>45840.669561886571</v>
      </c>
      <c r="D89">
        <v>3904</v>
      </c>
      <c r="E89" s="3" t="s">
        <v>144</v>
      </c>
      <c r="F89" s="12">
        <f t="shared" si="2"/>
        <v>45840.336228553235</v>
      </c>
      <c r="G89" s="10" t="str">
        <f t="shared" si="3"/>
        <v>08:00:00</v>
      </c>
      <c r="H89" t="str">
        <f>LEFT(SearchData[[#This Row],[userId]],8)</f>
        <v>fb7d1ae3</v>
      </c>
    </row>
    <row r="90" spans="1:8">
      <c r="A90" t="s">
        <v>266</v>
      </c>
      <c r="B90" t="s">
        <v>137</v>
      </c>
      <c r="C90" s="5">
        <v>45840.713251493056</v>
      </c>
      <c r="D90">
        <v>3904</v>
      </c>
      <c r="E90" s="3" t="s">
        <v>267</v>
      </c>
      <c r="F90" s="12">
        <f t="shared" si="2"/>
        <v>45840.379918159721</v>
      </c>
      <c r="G90" s="10" t="str">
        <f t="shared" si="3"/>
        <v>09:00:00</v>
      </c>
      <c r="H90" t="str">
        <f>LEFT(SearchData[[#This Row],[userId]],8)</f>
        <v>fb7d1ae3</v>
      </c>
    </row>
    <row r="91" spans="1:8">
      <c r="A91" t="s">
        <v>268</v>
      </c>
      <c r="B91" t="s">
        <v>203</v>
      </c>
      <c r="C91" s="5">
        <v>45841.639145057874</v>
      </c>
      <c r="D91">
        <v>3904</v>
      </c>
      <c r="E91" s="3" t="s">
        <v>269</v>
      </c>
      <c r="F91" s="12">
        <f t="shared" si="2"/>
        <v>45841.305811724538</v>
      </c>
      <c r="G91" s="10" t="str">
        <f t="shared" si="3"/>
        <v>07:15:00</v>
      </c>
      <c r="H91" t="str">
        <f>LEFT(SearchData[[#This Row],[userId]],8)</f>
        <v>5099fed4</v>
      </c>
    </row>
    <row r="92" spans="1:8">
      <c r="A92" t="s">
        <v>270</v>
      </c>
      <c r="B92" t="s">
        <v>203</v>
      </c>
      <c r="C92" s="5">
        <v>45841.676659733799</v>
      </c>
      <c r="D92">
        <v>3904</v>
      </c>
      <c r="E92" s="3" t="s">
        <v>269</v>
      </c>
      <c r="F92" s="12">
        <f t="shared" si="2"/>
        <v>45841.343326400463</v>
      </c>
      <c r="G92" s="10" t="str">
        <f t="shared" si="3"/>
        <v>08:15:00</v>
      </c>
      <c r="H92" t="str">
        <f>LEFT(SearchData[[#This Row],[userId]],8)</f>
        <v>5099fed4</v>
      </c>
    </row>
    <row r="93" spans="1:8">
      <c r="A93" t="s">
        <v>271</v>
      </c>
      <c r="B93" t="s">
        <v>137</v>
      </c>
      <c r="C93" s="5">
        <v>45841.846097187503</v>
      </c>
      <c r="D93">
        <v>3904</v>
      </c>
      <c r="E93" s="3" t="s">
        <v>272</v>
      </c>
      <c r="F93" s="12">
        <f t="shared" si="2"/>
        <v>45841.512763854167</v>
      </c>
      <c r="G93" s="10" t="str">
        <f t="shared" si="3"/>
        <v>12:15:00</v>
      </c>
      <c r="H93" t="str">
        <f>LEFT(SearchData[[#This Row],[userId]],8)</f>
        <v>fb7d1ae3</v>
      </c>
    </row>
    <row r="94" spans="1:8">
      <c r="A94" t="s">
        <v>273</v>
      </c>
      <c r="B94" t="s">
        <v>137</v>
      </c>
      <c r="C94" s="5">
        <v>45842.607512199073</v>
      </c>
      <c r="D94">
        <v>3904</v>
      </c>
      <c r="E94" s="3" t="s">
        <v>18</v>
      </c>
      <c r="F94" s="12">
        <f t="shared" si="2"/>
        <v>45842.274178865737</v>
      </c>
      <c r="G94" s="10" t="str">
        <f t="shared" si="3"/>
        <v>06:30:00</v>
      </c>
      <c r="H94" t="str">
        <f>LEFT(SearchData[[#This Row],[userId]],8)</f>
        <v>fb7d1ae3</v>
      </c>
    </row>
    <row r="95" spans="1:8">
      <c r="A95" t="s">
        <v>274</v>
      </c>
      <c r="B95" t="s">
        <v>228</v>
      </c>
      <c r="C95" s="5">
        <v>45842.641148680559</v>
      </c>
      <c r="D95">
        <v>3904</v>
      </c>
      <c r="E95" s="3" t="s">
        <v>275</v>
      </c>
      <c r="F95" s="12">
        <f t="shared" si="2"/>
        <v>45842.307815347223</v>
      </c>
      <c r="G95" s="10" t="str">
        <f t="shared" si="3"/>
        <v>07:30:00</v>
      </c>
      <c r="H95" t="str">
        <f>LEFT(SearchData[[#This Row],[userId]],8)</f>
        <v>865aaa25</v>
      </c>
    </row>
    <row r="96" spans="1:8">
      <c r="A96" t="s">
        <v>276</v>
      </c>
      <c r="B96" t="s">
        <v>228</v>
      </c>
      <c r="C96" s="5">
        <v>45842.670647476851</v>
      </c>
      <c r="D96">
        <v>3904</v>
      </c>
      <c r="E96" s="3" t="s">
        <v>275</v>
      </c>
      <c r="F96" s="12">
        <f t="shared" si="2"/>
        <v>45842.337314143515</v>
      </c>
      <c r="G96" s="10" t="str">
        <f t="shared" si="3"/>
        <v>08:00:00</v>
      </c>
      <c r="H96" t="str">
        <f>LEFT(SearchData[[#This Row],[userId]],8)</f>
        <v>865aaa25</v>
      </c>
    </row>
    <row r="97" spans="1:8">
      <c r="A97" t="s">
        <v>277</v>
      </c>
      <c r="B97" t="s">
        <v>228</v>
      </c>
      <c r="C97" s="5">
        <v>45842.714803564813</v>
      </c>
      <c r="D97">
        <v>3904</v>
      </c>
      <c r="E97" s="3" t="s">
        <v>275</v>
      </c>
      <c r="F97" s="12">
        <f t="shared" si="2"/>
        <v>45842.381470231478</v>
      </c>
      <c r="G97" s="10" t="str">
        <f t="shared" si="3"/>
        <v>09:15:00</v>
      </c>
      <c r="H97" t="str">
        <f>LEFT(SearchData[[#This Row],[userId]],8)</f>
        <v>865aaa25</v>
      </c>
    </row>
    <row r="98" spans="1:8">
      <c r="A98" t="s">
        <v>278</v>
      </c>
      <c r="B98" t="s">
        <v>228</v>
      </c>
      <c r="C98" s="5">
        <v>45842.873110891203</v>
      </c>
      <c r="D98">
        <v>3905</v>
      </c>
      <c r="E98" s="3" t="s">
        <v>275</v>
      </c>
      <c r="F98" s="12">
        <f t="shared" si="2"/>
        <v>45842.539777557868</v>
      </c>
      <c r="G98" s="10" t="str">
        <f t="shared" si="3"/>
        <v>13:00:00</v>
      </c>
      <c r="H98" t="str">
        <f>LEFT(SearchData[[#This Row],[userId]],8)</f>
        <v>865aaa25</v>
      </c>
    </row>
    <row r="99" spans="1:8">
      <c r="A99" t="s">
        <v>279</v>
      </c>
      <c r="B99" t="s">
        <v>228</v>
      </c>
      <c r="C99" s="5">
        <v>45842.896171932873</v>
      </c>
      <c r="D99">
        <v>3905</v>
      </c>
      <c r="E99" s="3" t="s">
        <v>275</v>
      </c>
      <c r="F99" s="12">
        <f t="shared" si="2"/>
        <v>45842.562838599537</v>
      </c>
      <c r="G99" s="10" t="str">
        <f t="shared" si="3"/>
        <v>13:30:00</v>
      </c>
      <c r="H99" t="str">
        <f>LEFT(SearchData[[#This Row],[userId]],8)</f>
        <v>865aaa25</v>
      </c>
    </row>
    <row r="100" spans="1:8">
      <c r="A100" t="s">
        <v>280</v>
      </c>
      <c r="B100" t="s">
        <v>281</v>
      </c>
      <c r="C100" s="5">
        <v>45842.943593379627</v>
      </c>
      <c r="D100">
        <v>3905</v>
      </c>
      <c r="E100" s="3" t="s">
        <v>211</v>
      </c>
      <c r="F100" s="12">
        <f t="shared" si="2"/>
        <v>45842.610260046291</v>
      </c>
      <c r="G100" s="10" t="str">
        <f t="shared" si="3"/>
        <v>14:45:00</v>
      </c>
      <c r="H100" t="str">
        <f>LEFT(SearchData[[#This Row],[userId]],8)</f>
        <v>fc8596ff</v>
      </c>
    </row>
    <row r="101" spans="1:8">
      <c r="A101" t="s">
        <v>282</v>
      </c>
      <c r="B101" t="s">
        <v>281</v>
      </c>
      <c r="C101" s="5">
        <v>45842.944698912041</v>
      </c>
      <c r="D101">
        <v>3905</v>
      </c>
      <c r="E101" s="3" t="s">
        <v>283</v>
      </c>
      <c r="F101" s="12">
        <f t="shared" si="2"/>
        <v>45842.611365578705</v>
      </c>
      <c r="G101" s="10" t="str">
        <f t="shared" si="3"/>
        <v>14:45:00</v>
      </c>
      <c r="H101" t="str">
        <f>LEFT(SearchData[[#This Row],[userId]],8)</f>
        <v>fc8596ff</v>
      </c>
    </row>
    <row r="102" spans="1:8">
      <c r="A102" t="s">
        <v>284</v>
      </c>
      <c r="B102" t="s">
        <v>281</v>
      </c>
      <c r="C102" s="5">
        <v>45845.14199074074</v>
      </c>
      <c r="D102">
        <v>3905</v>
      </c>
      <c r="E102" s="3" t="s">
        <v>285</v>
      </c>
      <c r="F102" s="12">
        <f t="shared" si="2"/>
        <v>45844.808657407404</v>
      </c>
      <c r="G102" s="10" t="str">
        <f t="shared" si="3"/>
        <v>19:30:00</v>
      </c>
      <c r="H102" t="str">
        <f>LEFT(SearchData[[#This Row],[userId]],8)</f>
        <v>fc8596ff</v>
      </c>
    </row>
    <row r="103" spans="1:8">
      <c r="A103" t="s">
        <v>286</v>
      </c>
      <c r="B103" t="s">
        <v>281</v>
      </c>
      <c r="C103" s="5">
        <v>45845.142054594908</v>
      </c>
      <c r="D103">
        <v>3905</v>
      </c>
      <c r="E103" s="3" t="s">
        <v>287</v>
      </c>
      <c r="F103" s="12">
        <f t="shared" si="2"/>
        <v>45844.808721261572</v>
      </c>
      <c r="G103" s="10" t="str">
        <f t="shared" si="3"/>
        <v>19:30:00</v>
      </c>
      <c r="H103" t="str">
        <f>LEFT(SearchData[[#This Row],[userId]],8)</f>
        <v>fc8596ff</v>
      </c>
    </row>
    <row r="104" spans="1:8">
      <c r="A104" t="s">
        <v>288</v>
      </c>
      <c r="B104" t="s">
        <v>289</v>
      </c>
      <c r="C104" s="5">
        <v>45845.178198449074</v>
      </c>
      <c r="D104">
        <v>3905</v>
      </c>
      <c r="E104" s="3" t="s">
        <v>290</v>
      </c>
      <c r="F104" s="12">
        <f t="shared" si="2"/>
        <v>45844.844865115738</v>
      </c>
      <c r="G104" s="10" t="str">
        <f t="shared" si="3"/>
        <v>20:15:00</v>
      </c>
      <c r="H104" t="str">
        <f>LEFT(SearchData[[#This Row],[userId]],8)</f>
        <v>5db0b69a</v>
      </c>
    </row>
    <row r="105" spans="1:8">
      <c r="A105" t="s">
        <v>291</v>
      </c>
      <c r="B105" t="s">
        <v>281</v>
      </c>
      <c r="C105" s="5">
        <v>45845.191134456021</v>
      </c>
      <c r="D105">
        <v>3905</v>
      </c>
      <c r="E105" s="3" t="s">
        <v>287</v>
      </c>
      <c r="F105" s="12">
        <f t="shared" si="2"/>
        <v>45844.857801122685</v>
      </c>
      <c r="G105" s="10" t="str">
        <f t="shared" si="3"/>
        <v>20:30:00</v>
      </c>
      <c r="H105" t="str">
        <f>LEFT(SearchData[[#This Row],[userId]],8)</f>
        <v>fc8596ff</v>
      </c>
    </row>
    <row r="106" spans="1:8">
      <c r="A106" t="s">
        <v>292</v>
      </c>
      <c r="B106" t="s">
        <v>289</v>
      </c>
      <c r="C106" s="5">
        <v>45845.208471006947</v>
      </c>
      <c r="D106">
        <v>3905</v>
      </c>
      <c r="E106" s="3" t="s">
        <v>290</v>
      </c>
      <c r="F106" s="12">
        <f t="shared" si="2"/>
        <v>45844.875137673611</v>
      </c>
      <c r="G106" s="10" t="str">
        <f t="shared" si="3"/>
        <v>21:00:00</v>
      </c>
      <c r="H106" t="str">
        <f>LEFT(SearchData[[#This Row],[userId]],8)</f>
        <v>5db0b69a</v>
      </c>
    </row>
    <row r="107" spans="1:8">
      <c r="A107" t="s">
        <v>293</v>
      </c>
      <c r="B107" t="s">
        <v>137</v>
      </c>
      <c r="C107" s="5">
        <v>45846.641971967591</v>
      </c>
      <c r="D107">
        <v>3912</v>
      </c>
      <c r="E107" s="3" t="s">
        <v>294</v>
      </c>
      <c r="F107" s="12">
        <f t="shared" si="2"/>
        <v>45846.308638634255</v>
      </c>
      <c r="G107" s="10" t="str">
        <f t="shared" si="3"/>
        <v>07:30:00</v>
      </c>
      <c r="H107" t="str">
        <f>LEFT(SearchData[[#This Row],[userId]],8)</f>
        <v>fb7d1ae3</v>
      </c>
    </row>
    <row r="108" spans="1:8">
      <c r="A108" t="s">
        <v>295</v>
      </c>
      <c r="B108" t="s">
        <v>203</v>
      </c>
      <c r="C108" s="5">
        <v>45847.662409837962</v>
      </c>
      <c r="D108">
        <v>3918</v>
      </c>
      <c r="E108" s="3" t="s">
        <v>296</v>
      </c>
      <c r="F108" s="12">
        <f t="shared" si="2"/>
        <v>45847.329076504626</v>
      </c>
      <c r="G108" s="10" t="str">
        <f t="shared" si="3"/>
        <v>08:00:00</v>
      </c>
      <c r="H108" t="str">
        <f>LEFT(SearchData[[#This Row],[userId]],8)</f>
        <v>5099fed4</v>
      </c>
    </row>
    <row r="109" spans="1:8">
      <c r="A109" t="s">
        <v>297</v>
      </c>
      <c r="B109" t="s">
        <v>137</v>
      </c>
      <c r="C109" s="5">
        <v>45847.792478912037</v>
      </c>
      <c r="D109">
        <v>3922</v>
      </c>
      <c r="E109" s="3" t="s">
        <v>298</v>
      </c>
      <c r="F109" s="12">
        <f t="shared" si="2"/>
        <v>45847.459145578701</v>
      </c>
      <c r="G109" s="10" t="str">
        <f t="shared" si="3"/>
        <v>11:00:00</v>
      </c>
      <c r="H109" t="str">
        <f>LEFT(SearchData[[#This Row],[userId]],8)</f>
        <v>fb7d1ae3</v>
      </c>
    </row>
    <row r="110" spans="1:8">
      <c r="A110" t="s">
        <v>299</v>
      </c>
      <c r="B110" t="s">
        <v>137</v>
      </c>
      <c r="C110" s="5">
        <v>45847.83359465278</v>
      </c>
      <c r="D110">
        <v>3922</v>
      </c>
      <c r="E110" s="3" t="s">
        <v>298</v>
      </c>
      <c r="F110" s="12">
        <f t="shared" si="2"/>
        <v>45847.500261319445</v>
      </c>
      <c r="G110" s="10" t="str">
        <f t="shared" si="3"/>
        <v>12:00:00</v>
      </c>
      <c r="H110" t="str">
        <f>LEFT(SearchData[[#This Row],[userId]],8)</f>
        <v>fb7d1ae3</v>
      </c>
    </row>
    <row r="111" spans="1:8">
      <c r="A111" t="s">
        <v>300</v>
      </c>
      <c r="B111" t="s">
        <v>137</v>
      </c>
      <c r="C111" s="5">
        <v>45847.87932359954</v>
      </c>
      <c r="D111">
        <v>3922</v>
      </c>
      <c r="E111" s="3" t="s">
        <v>298</v>
      </c>
      <c r="F111" s="12">
        <f t="shared" si="2"/>
        <v>45847.545990266204</v>
      </c>
      <c r="G111" s="10" t="str">
        <f t="shared" si="3"/>
        <v>13:00:00</v>
      </c>
      <c r="H111" t="str">
        <f>LEFT(SearchData[[#This Row],[userId]],8)</f>
        <v>fb7d1ae3</v>
      </c>
    </row>
    <row r="112" spans="1:8">
      <c r="A112" t="s">
        <v>301</v>
      </c>
      <c r="B112" t="s">
        <v>203</v>
      </c>
      <c r="C112" s="5">
        <v>45847.887726157409</v>
      </c>
      <c r="D112">
        <v>3922</v>
      </c>
      <c r="E112" s="3" t="s">
        <v>302</v>
      </c>
      <c r="F112" s="12">
        <f t="shared" si="2"/>
        <v>45847.554392824073</v>
      </c>
      <c r="G112" s="10" t="str">
        <f t="shared" si="3"/>
        <v>13:15:00</v>
      </c>
      <c r="H112" t="str">
        <f>LEFT(SearchData[[#This Row],[userId]],8)</f>
        <v>5099fed4</v>
      </c>
    </row>
    <row r="113" spans="1:8">
      <c r="A113" t="s">
        <v>303</v>
      </c>
      <c r="B113" t="s">
        <v>137</v>
      </c>
      <c r="C113" s="5">
        <v>45847.919857592591</v>
      </c>
      <c r="D113">
        <v>3922</v>
      </c>
      <c r="E113" s="3" t="s">
        <v>298</v>
      </c>
      <c r="F113" s="12">
        <f t="shared" si="2"/>
        <v>45847.586524259255</v>
      </c>
      <c r="G113" s="10" t="str">
        <f t="shared" si="3"/>
        <v>14:00:00</v>
      </c>
      <c r="H113" t="str">
        <f>LEFT(SearchData[[#This Row],[userId]],8)</f>
        <v>fb7d1ae3</v>
      </c>
    </row>
    <row r="114" spans="1:8">
      <c r="A114" t="s">
        <v>304</v>
      </c>
      <c r="B114" t="s">
        <v>203</v>
      </c>
      <c r="C114" s="5">
        <v>45847.934489479165</v>
      </c>
      <c r="D114">
        <v>3922</v>
      </c>
      <c r="E114" s="3" t="s">
        <v>302</v>
      </c>
      <c r="F114" s="12">
        <f t="shared" si="2"/>
        <v>45847.601156145829</v>
      </c>
      <c r="G114" s="10" t="str">
        <f t="shared" si="3"/>
        <v>14:30:00</v>
      </c>
      <c r="H114" t="str">
        <f>LEFT(SearchData[[#This Row],[userId]],8)</f>
        <v>5099fed4</v>
      </c>
    </row>
    <row r="115" spans="1:8">
      <c r="A115" t="s">
        <v>305</v>
      </c>
      <c r="B115" t="s">
        <v>137</v>
      </c>
      <c r="C115" s="5">
        <v>45847.958610069443</v>
      </c>
      <c r="D115">
        <v>3922</v>
      </c>
      <c r="E115" s="3" t="s">
        <v>298</v>
      </c>
      <c r="F115" s="12">
        <f t="shared" si="2"/>
        <v>45847.625276736107</v>
      </c>
      <c r="G115" s="10" t="str">
        <f t="shared" si="3"/>
        <v>15:00:00</v>
      </c>
      <c r="H115" t="str">
        <f>LEFT(SearchData[[#This Row],[userId]],8)</f>
        <v>fb7d1ae3</v>
      </c>
    </row>
    <row r="116" spans="1:8">
      <c r="A116" t="s">
        <v>306</v>
      </c>
      <c r="B116" t="s">
        <v>137</v>
      </c>
      <c r="C116" s="5">
        <v>45848.000080787038</v>
      </c>
      <c r="D116">
        <v>81959</v>
      </c>
      <c r="E116" s="3" t="s">
        <v>298</v>
      </c>
      <c r="F116" s="12">
        <f t="shared" si="2"/>
        <v>45847.666747453703</v>
      </c>
      <c r="G116" s="10" t="str">
        <f t="shared" si="3"/>
        <v>16:00:00</v>
      </c>
      <c r="H116" t="str">
        <f>LEFT(SearchData[[#This Row],[userId]],8)</f>
        <v>fb7d1ae3</v>
      </c>
    </row>
    <row r="117" spans="1:8">
      <c r="A117" t="s">
        <v>307</v>
      </c>
      <c r="B117" t="s">
        <v>308</v>
      </c>
      <c r="C117" s="5">
        <v>45848.007223379631</v>
      </c>
      <c r="D117">
        <v>3922</v>
      </c>
      <c r="E117" s="3" t="s">
        <v>309</v>
      </c>
      <c r="F117" s="12">
        <f t="shared" si="2"/>
        <v>45847.673890046295</v>
      </c>
      <c r="G117" s="10" t="str">
        <f t="shared" si="3"/>
        <v>16:15:00</v>
      </c>
      <c r="H117" t="str">
        <f>LEFT(SearchData[[#This Row],[userId]],8)</f>
        <v>72d846eb</v>
      </c>
    </row>
    <row r="118" spans="1:8">
      <c r="A118" t="s">
        <v>310</v>
      </c>
      <c r="B118" t="s">
        <v>137</v>
      </c>
      <c r="C118" s="5">
        <v>45848.0077275</v>
      </c>
      <c r="D118">
        <v>3922</v>
      </c>
      <c r="E118" s="3" t="s">
        <v>309</v>
      </c>
      <c r="F118" s="12">
        <f t="shared" si="2"/>
        <v>45847.674394166665</v>
      </c>
      <c r="G118" s="10" t="str">
        <f t="shared" si="3"/>
        <v>16:15:00</v>
      </c>
      <c r="H118" t="str">
        <f>LEFT(SearchData[[#This Row],[userId]],8)</f>
        <v>fb7d1ae3</v>
      </c>
    </row>
    <row r="119" spans="1:8">
      <c r="A119" t="s">
        <v>311</v>
      </c>
      <c r="B119" t="s">
        <v>308</v>
      </c>
      <c r="C119" s="5">
        <v>45848.041697673609</v>
      </c>
      <c r="D119">
        <v>3922</v>
      </c>
      <c r="E119" s="3" t="s">
        <v>309</v>
      </c>
      <c r="F119" s="12">
        <f t="shared" si="2"/>
        <v>45847.708364340273</v>
      </c>
      <c r="G119" s="10" t="str">
        <f t="shared" si="3"/>
        <v>17:00:00</v>
      </c>
      <c r="H119" t="str">
        <f>LEFT(SearchData[[#This Row],[userId]],8)</f>
        <v>72d846eb</v>
      </c>
    </row>
    <row r="120" spans="1:8">
      <c r="A120" t="s">
        <v>312</v>
      </c>
      <c r="B120" t="s">
        <v>137</v>
      </c>
      <c r="C120" s="5">
        <v>45848.043802465276</v>
      </c>
      <c r="D120">
        <v>81965</v>
      </c>
      <c r="E120" s="3" t="s">
        <v>298</v>
      </c>
      <c r="F120" s="12">
        <f t="shared" si="2"/>
        <v>45847.71046913194</v>
      </c>
      <c r="G120" s="10" t="str">
        <f t="shared" si="3"/>
        <v>17:00:00</v>
      </c>
      <c r="H120" t="str">
        <f>LEFT(SearchData[[#This Row],[userId]],8)</f>
        <v>fb7d1ae3</v>
      </c>
    </row>
    <row r="121" spans="1:8">
      <c r="A121" t="s">
        <v>313</v>
      </c>
      <c r="B121" t="s">
        <v>314</v>
      </c>
      <c r="C121" s="5">
        <v>45848.046548530096</v>
      </c>
      <c r="D121">
        <v>0</v>
      </c>
      <c r="E121" s="3" t="s">
        <v>315</v>
      </c>
      <c r="F121" s="12">
        <f t="shared" si="2"/>
        <v>45847.71321519676</v>
      </c>
      <c r="G121" s="10" t="str">
        <f t="shared" si="3"/>
        <v>17:00:00</v>
      </c>
      <c r="H121" t="str">
        <f>LEFT(SearchData[[#This Row],[userId]],8)</f>
        <v>17ab8242</v>
      </c>
    </row>
    <row r="122" spans="1:8">
      <c r="A122" t="s">
        <v>316</v>
      </c>
      <c r="B122" t="s">
        <v>137</v>
      </c>
      <c r="C122" s="5">
        <v>45848.079710752318</v>
      </c>
      <c r="D122">
        <v>3922</v>
      </c>
      <c r="E122" s="3" t="s">
        <v>309</v>
      </c>
      <c r="F122" s="12">
        <f t="shared" si="2"/>
        <v>45847.746377418982</v>
      </c>
      <c r="G122" s="10" t="str">
        <f t="shared" si="3"/>
        <v>18:00:00</v>
      </c>
      <c r="H122" t="str">
        <f>LEFT(SearchData[[#This Row],[userId]],8)</f>
        <v>fb7d1ae3</v>
      </c>
    </row>
    <row r="123" spans="1:8">
      <c r="A123" t="s">
        <v>317</v>
      </c>
      <c r="B123" t="s">
        <v>137</v>
      </c>
      <c r="C123" s="5">
        <v>45848.083486921299</v>
      </c>
      <c r="D123">
        <v>3922</v>
      </c>
      <c r="E123" s="3" t="s">
        <v>309</v>
      </c>
      <c r="F123" s="12">
        <f t="shared" si="2"/>
        <v>45847.750153587964</v>
      </c>
      <c r="G123" s="10" t="str">
        <f t="shared" si="3"/>
        <v>18:00:00</v>
      </c>
      <c r="H123" t="str">
        <f>LEFT(SearchData[[#This Row],[userId]],8)</f>
        <v>fb7d1ae3</v>
      </c>
    </row>
    <row r="124" spans="1:8">
      <c r="A124" t="s">
        <v>318</v>
      </c>
      <c r="B124" t="s">
        <v>308</v>
      </c>
      <c r="C124" s="5">
        <v>45848.083839259256</v>
      </c>
      <c r="D124">
        <v>3922</v>
      </c>
      <c r="E124" s="3" t="s">
        <v>309</v>
      </c>
      <c r="F124" s="12">
        <f t="shared" si="2"/>
        <v>45847.75050592592</v>
      </c>
      <c r="G124" s="10" t="str">
        <f t="shared" si="3"/>
        <v>18:00:00</v>
      </c>
      <c r="H124" t="str">
        <f>LEFT(SearchData[[#This Row],[userId]],8)</f>
        <v>72d846eb</v>
      </c>
    </row>
    <row r="125" spans="1:8">
      <c r="A125" t="s">
        <v>319</v>
      </c>
      <c r="B125" t="s">
        <v>192</v>
      </c>
      <c r="C125" s="5">
        <v>45848.101213726855</v>
      </c>
      <c r="D125">
        <v>3922</v>
      </c>
      <c r="E125" s="3" t="s">
        <v>5</v>
      </c>
      <c r="F125" s="12">
        <f t="shared" si="2"/>
        <v>45847.76788039352</v>
      </c>
      <c r="G125" s="10" t="str">
        <f t="shared" si="3"/>
        <v>18:30:00</v>
      </c>
      <c r="H125" t="str">
        <f>LEFT(SearchData[[#This Row],[userId]],8)</f>
        <v>fbfa025f</v>
      </c>
    </row>
    <row r="126" spans="1:8">
      <c r="A126" t="s">
        <v>320</v>
      </c>
      <c r="B126" t="s">
        <v>137</v>
      </c>
      <c r="C126" s="5">
        <v>45848.125835324077</v>
      </c>
      <c r="D126">
        <v>3922</v>
      </c>
      <c r="E126" s="3" t="s">
        <v>309</v>
      </c>
      <c r="F126" s="12">
        <f t="shared" si="2"/>
        <v>45847.792501990742</v>
      </c>
      <c r="G126" s="10" t="str">
        <f t="shared" si="3"/>
        <v>19:00:00</v>
      </c>
      <c r="H126" t="str">
        <f>LEFT(SearchData[[#This Row],[userId]],8)</f>
        <v>fb7d1ae3</v>
      </c>
    </row>
    <row r="127" spans="1:8">
      <c r="A127" t="s">
        <v>321</v>
      </c>
      <c r="B127" t="s">
        <v>192</v>
      </c>
      <c r="C127" s="5">
        <v>45848.168623680554</v>
      </c>
      <c r="D127">
        <v>81967</v>
      </c>
      <c r="E127" s="3" t="s">
        <v>5</v>
      </c>
      <c r="F127" s="12">
        <f t="shared" si="2"/>
        <v>45847.835290347219</v>
      </c>
      <c r="G127" s="10" t="str">
        <f t="shared" si="3"/>
        <v>20:00:00</v>
      </c>
      <c r="H127" t="str">
        <f>LEFT(SearchData[[#This Row],[userId]],8)</f>
        <v>fbfa025f</v>
      </c>
    </row>
    <row r="128" spans="1:8">
      <c r="A128" t="s">
        <v>322</v>
      </c>
      <c r="B128" t="s">
        <v>137</v>
      </c>
      <c r="C128" s="5">
        <v>45848.169834722219</v>
      </c>
      <c r="D128">
        <v>3922</v>
      </c>
      <c r="E128" s="3" t="s">
        <v>298</v>
      </c>
      <c r="F128" s="12">
        <f t="shared" si="2"/>
        <v>45847.836501388883</v>
      </c>
      <c r="G128" s="10" t="str">
        <f t="shared" si="3"/>
        <v>20:00:00</v>
      </c>
      <c r="H128" t="str">
        <f>LEFT(SearchData[[#This Row],[userId]],8)</f>
        <v>fb7d1ae3</v>
      </c>
    </row>
    <row r="129" spans="1:8">
      <c r="A129" t="s">
        <v>323</v>
      </c>
      <c r="B129" t="s">
        <v>137</v>
      </c>
      <c r="C129" s="5">
        <v>45848.183856203701</v>
      </c>
      <c r="D129">
        <v>3922</v>
      </c>
      <c r="E129" s="3" t="s">
        <v>8</v>
      </c>
      <c r="F129" s="12">
        <f t="shared" si="2"/>
        <v>45847.850522870365</v>
      </c>
      <c r="G129" s="10" t="str">
        <f t="shared" si="3"/>
        <v>20:30:00</v>
      </c>
      <c r="H129" t="str">
        <f>LEFT(SearchData[[#This Row],[userId]],8)</f>
        <v>fb7d1ae3</v>
      </c>
    </row>
    <row r="130" spans="1:8">
      <c r="A130" t="s">
        <v>324</v>
      </c>
      <c r="B130" t="s">
        <v>137</v>
      </c>
      <c r="C130" s="5">
        <v>45848.189846354166</v>
      </c>
      <c r="D130">
        <v>3922</v>
      </c>
      <c r="E130" s="3" t="s">
        <v>309</v>
      </c>
      <c r="F130" s="12">
        <f t="shared" ref="F130:F193" si="4">C130-TIME(8,0,0)</f>
        <v>45847.85651302083</v>
      </c>
      <c r="G130" s="10" t="str">
        <f t="shared" ref="G130:G193" si="5">TEXT(MROUND(C130-TIME(8,0,0), "0:15"),"HH:MM:SS")</f>
        <v>20:30:00</v>
      </c>
      <c r="H130" t="str">
        <f>LEFT(SearchData[[#This Row],[userId]],8)</f>
        <v>fb7d1ae3</v>
      </c>
    </row>
    <row r="131" spans="1:8">
      <c r="A131" t="s">
        <v>325</v>
      </c>
      <c r="B131" t="s">
        <v>137</v>
      </c>
      <c r="C131" s="5">
        <v>45848.208672384259</v>
      </c>
      <c r="D131">
        <v>3922</v>
      </c>
      <c r="E131" s="3" t="s">
        <v>309</v>
      </c>
      <c r="F131" s="12">
        <f t="shared" si="4"/>
        <v>45847.875339050923</v>
      </c>
      <c r="G131" s="10" t="str">
        <f t="shared" si="5"/>
        <v>21:00:00</v>
      </c>
      <c r="H131" t="str">
        <f>LEFT(SearchData[[#This Row],[userId]],8)</f>
        <v>fb7d1ae3</v>
      </c>
    </row>
    <row r="132" spans="1:8">
      <c r="A132" t="s">
        <v>326</v>
      </c>
      <c r="B132" t="s">
        <v>308</v>
      </c>
      <c r="C132" s="5">
        <v>45848.226790266206</v>
      </c>
      <c r="D132">
        <v>3922</v>
      </c>
      <c r="E132" s="3" t="s">
        <v>309</v>
      </c>
      <c r="F132" s="12">
        <f t="shared" si="4"/>
        <v>45847.89345693287</v>
      </c>
      <c r="G132" s="10" t="str">
        <f t="shared" si="5"/>
        <v>21:30:00</v>
      </c>
      <c r="H132" t="str">
        <f>LEFT(SearchData[[#This Row],[userId]],8)</f>
        <v>72d846eb</v>
      </c>
    </row>
    <row r="133" spans="1:8">
      <c r="A133" t="s">
        <v>327</v>
      </c>
      <c r="B133" t="s">
        <v>257</v>
      </c>
      <c r="C133" s="5">
        <v>45848.243253437497</v>
      </c>
      <c r="D133">
        <v>3922</v>
      </c>
      <c r="E133" s="3" t="s">
        <v>328</v>
      </c>
      <c r="F133" s="12">
        <f t="shared" si="4"/>
        <v>45847.909920104161</v>
      </c>
      <c r="G133" s="10" t="str">
        <f t="shared" si="5"/>
        <v>21:45:00</v>
      </c>
      <c r="H133" t="str">
        <f>LEFT(SearchData[[#This Row],[userId]],8)</f>
        <v>60e012f5</v>
      </c>
    </row>
    <row r="134" spans="1:8">
      <c r="A134" t="s">
        <v>329</v>
      </c>
      <c r="B134" t="s">
        <v>257</v>
      </c>
      <c r="C134" s="5">
        <v>45848.268784305554</v>
      </c>
      <c r="D134">
        <v>3922</v>
      </c>
      <c r="E134" s="3" t="s">
        <v>328</v>
      </c>
      <c r="F134" s="12">
        <f t="shared" si="4"/>
        <v>45847.935450972218</v>
      </c>
      <c r="G134" s="10" t="str">
        <f t="shared" si="5"/>
        <v>22:30:00</v>
      </c>
      <c r="H134" t="str">
        <f>LEFT(SearchData[[#This Row],[userId]],8)</f>
        <v>60e012f5</v>
      </c>
    </row>
    <row r="135" spans="1:8">
      <c r="A135" t="s">
        <v>330</v>
      </c>
      <c r="B135" t="s">
        <v>257</v>
      </c>
      <c r="C135" s="5">
        <v>45848.308143449074</v>
      </c>
      <c r="D135">
        <v>3922</v>
      </c>
      <c r="E135" s="3" t="s">
        <v>328</v>
      </c>
      <c r="F135" s="12">
        <f t="shared" si="4"/>
        <v>45847.974810115738</v>
      </c>
      <c r="G135" s="10" t="str">
        <f t="shared" si="5"/>
        <v>23:30:00</v>
      </c>
      <c r="H135" t="str">
        <f>LEFT(SearchData[[#This Row],[userId]],8)</f>
        <v>60e012f5</v>
      </c>
    </row>
    <row r="136" spans="1:8">
      <c r="A136" t="s">
        <v>331</v>
      </c>
      <c r="B136" t="s">
        <v>257</v>
      </c>
      <c r="C136" s="5">
        <v>45848.334776006945</v>
      </c>
      <c r="D136">
        <v>3922</v>
      </c>
      <c r="E136" s="3" t="s">
        <v>328</v>
      </c>
      <c r="F136" s="12">
        <f t="shared" si="4"/>
        <v>45848.001442673609</v>
      </c>
      <c r="G136" s="10" t="str">
        <f t="shared" si="5"/>
        <v>00:00:00</v>
      </c>
      <c r="H136" t="str">
        <f>LEFT(SearchData[[#This Row],[userId]],8)</f>
        <v>60e012f5</v>
      </c>
    </row>
    <row r="137" spans="1:8">
      <c r="A137" t="s">
        <v>332</v>
      </c>
      <c r="B137" t="s">
        <v>257</v>
      </c>
      <c r="C137" s="5">
        <v>45848.394784155091</v>
      </c>
      <c r="D137">
        <v>3922</v>
      </c>
      <c r="E137" s="3" t="s">
        <v>328</v>
      </c>
      <c r="F137" s="12">
        <f t="shared" si="4"/>
        <v>45848.061450821755</v>
      </c>
      <c r="G137" s="10" t="str">
        <f t="shared" si="5"/>
        <v>01:30:00</v>
      </c>
      <c r="H137" t="str">
        <f>LEFT(SearchData[[#This Row],[userId]],8)</f>
        <v>60e012f5</v>
      </c>
    </row>
    <row r="138" spans="1:8">
      <c r="A138" t="s">
        <v>333</v>
      </c>
      <c r="B138" t="s">
        <v>262</v>
      </c>
      <c r="C138" s="5">
        <v>45848.403775798608</v>
      </c>
      <c r="D138">
        <v>0</v>
      </c>
      <c r="E138" s="3" t="s">
        <v>334</v>
      </c>
      <c r="F138" s="12">
        <f t="shared" si="4"/>
        <v>45848.070442465272</v>
      </c>
      <c r="G138" s="10" t="str">
        <f t="shared" si="5"/>
        <v>01:45:00</v>
      </c>
      <c r="H138" t="str">
        <f>LEFT(SearchData[[#This Row],[userId]],8)</f>
        <v>bd053b0f</v>
      </c>
    </row>
    <row r="139" spans="1:8">
      <c r="A139" t="s">
        <v>335</v>
      </c>
      <c r="B139" t="s">
        <v>262</v>
      </c>
      <c r="C139" s="5">
        <v>45848.404109120369</v>
      </c>
      <c r="D139">
        <v>0</v>
      </c>
      <c r="E139" s="3" t="s">
        <v>336</v>
      </c>
      <c r="F139" s="12">
        <f t="shared" si="4"/>
        <v>45848.070775787033</v>
      </c>
      <c r="G139" s="10" t="str">
        <f t="shared" si="5"/>
        <v>01:45:00</v>
      </c>
      <c r="H139" t="str">
        <f>LEFT(SearchData[[#This Row],[userId]],8)</f>
        <v>bd053b0f</v>
      </c>
    </row>
    <row r="140" spans="1:8">
      <c r="A140" t="s">
        <v>337</v>
      </c>
      <c r="B140" t="s">
        <v>262</v>
      </c>
      <c r="C140" s="5">
        <v>45848.405073113427</v>
      </c>
      <c r="D140">
        <v>81967</v>
      </c>
      <c r="E140" s="3">
        <v>2504567</v>
      </c>
      <c r="F140" s="12">
        <f t="shared" si="4"/>
        <v>45848.071739780091</v>
      </c>
      <c r="G140" s="10" t="str">
        <f t="shared" si="5"/>
        <v>01:45:00</v>
      </c>
      <c r="H140" t="str">
        <f>LEFT(SearchData[[#This Row],[userId]],8)</f>
        <v>bd053b0f</v>
      </c>
    </row>
    <row r="141" spans="1:8">
      <c r="A141" t="s">
        <v>338</v>
      </c>
      <c r="B141" t="s">
        <v>262</v>
      </c>
      <c r="C141" s="5">
        <v>45848.406507615742</v>
      </c>
      <c r="D141">
        <v>3922</v>
      </c>
      <c r="E141" s="3">
        <v>2504567</v>
      </c>
      <c r="F141" s="12">
        <f t="shared" si="4"/>
        <v>45848.073174282406</v>
      </c>
      <c r="G141" s="10" t="str">
        <f t="shared" si="5"/>
        <v>01:45:00</v>
      </c>
      <c r="H141" t="str">
        <f>LEFT(SearchData[[#This Row],[userId]],8)</f>
        <v>bd053b0f</v>
      </c>
    </row>
    <row r="142" spans="1:8">
      <c r="A142" t="s">
        <v>339</v>
      </c>
      <c r="B142" t="s">
        <v>262</v>
      </c>
      <c r="C142" s="5">
        <v>45848.419117141202</v>
      </c>
      <c r="D142">
        <v>3922</v>
      </c>
      <c r="E142" s="3">
        <v>2504567</v>
      </c>
      <c r="F142" s="12">
        <f t="shared" si="4"/>
        <v>45848.085783807866</v>
      </c>
      <c r="G142" s="10" t="str">
        <f t="shared" si="5"/>
        <v>02:00:00</v>
      </c>
      <c r="H142" t="str">
        <f>LEFT(SearchData[[#This Row],[userId]],8)</f>
        <v>bd053b0f</v>
      </c>
    </row>
    <row r="143" spans="1:8">
      <c r="A143" t="s">
        <v>340</v>
      </c>
      <c r="B143" t="s">
        <v>257</v>
      </c>
      <c r="C143" s="5">
        <v>45848.421728634261</v>
      </c>
      <c r="D143">
        <v>3922</v>
      </c>
      <c r="E143" s="3" t="s">
        <v>328</v>
      </c>
      <c r="F143" s="12">
        <f t="shared" si="4"/>
        <v>45848.088395300925</v>
      </c>
      <c r="G143" s="10" t="str">
        <f t="shared" si="5"/>
        <v>02:00:00</v>
      </c>
      <c r="H143" t="str">
        <f>LEFT(SearchData[[#This Row],[userId]],8)</f>
        <v>60e012f5</v>
      </c>
    </row>
    <row r="144" spans="1:8">
      <c r="A144" t="s">
        <v>341</v>
      </c>
      <c r="B144" t="s">
        <v>262</v>
      </c>
      <c r="C144" s="5">
        <v>45848.466113506947</v>
      </c>
      <c r="D144">
        <v>3922</v>
      </c>
      <c r="E144" s="3" t="s">
        <v>328</v>
      </c>
      <c r="F144" s="12">
        <f t="shared" si="4"/>
        <v>45848.132780173612</v>
      </c>
      <c r="G144" s="10" t="str">
        <f t="shared" si="5"/>
        <v>03:15:00</v>
      </c>
      <c r="H144" t="str">
        <f>LEFT(SearchData[[#This Row],[userId]],8)</f>
        <v>bd053b0f</v>
      </c>
    </row>
    <row r="145" spans="1:8">
      <c r="A145" t="s">
        <v>342</v>
      </c>
      <c r="B145" t="s">
        <v>257</v>
      </c>
      <c r="C145" s="5">
        <v>45848.466723935184</v>
      </c>
      <c r="D145">
        <v>3922</v>
      </c>
      <c r="E145" s="3" t="s">
        <v>328</v>
      </c>
      <c r="F145" s="12">
        <f t="shared" si="4"/>
        <v>45848.133390601848</v>
      </c>
      <c r="G145" s="10" t="str">
        <f t="shared" si="5"/>
        <v>03:15:00</v>
      </c>
      <c r="H145" t="str">
        <f>LEFT(SearchData[[#This Row],[userId]],8)</f>
        <v>60e012f5</v>
      </c>
    </row>
    <row r="146" spans="1:8">
      <c r="A146" t="s">
        <v>343</v>
      </c>
      <c r="B146" t="s">
        <v>137</v>
      </c>
      <c r="C146" s="5">
        <v>45848.554299363423</v>
      </c>
      <c r="D146">
        <v>3921</v>
      </c>
      <c r="E146" s="3" t="s">
        <v>309</v>
      </c>
      <c r="F146" s="12">
        <f t="shared" si="4"/>
        <v>45848.220966030087</v>
      </c>
      <c r="G146" s="10" t="str">
        <f t="shared" si="5"/>
        <v>05:15:00</v>
      </c>
      <c r="H146" t="str">
        <f>LEFT(SearchData[[#This Row],[userId]],8)</f>
        <v>fb7d1ae3</v>
      </c>
    </row>
    <row r="147" spans="1:8">
      <c r="A147" t="s">
        <v>344</v>
      </c>
      <c r="B147" t="s">
        <v>308</v>
      </c>
      <c r="C147" s="5">
        <v>45848.568099618053</v>
      </c>
      <c r="D147">
        <v>3919</v>
      </c>
      <c r="E147" s="3" t="s">
        <v>309</v>
      </c>
      <c r="F147" s="12">
        <f t="shared" si="4"/>
        <v>45848.234766284717</v>
      </c>
      <c r="G147" s="10" t="str">
        <f t="shared" si="5"/>
        <v>05:45:00</v>
      </c>
      <c r="H147" t="str">
        <f>LEFT(SearchData[[#This Row],[userId]],8)</f>
        <v>72d846eb</v>
      </c>
    </row>
    <row r="148" spans="1:8">
      <c r="A148" t="s">
        <v>345</v>
      </c>
      <c r="B148" t="s">
        <v>192</v>
      </c>
      <c r="C148" s="5">
        <v>45848.588148587965</v>
      </c>
      <c r="D148">
        <v>81993</v>
      </c>
      <c r="E148" s="3" t="s">
        <v>5</v>
      </c>
      <c r="F148" s="12">
        <f t="shared" si="4"/>
        <v>45848.25481525463</v>
      </c>
      <c r="G148" s="10" t="str">
        <f t="shared" si="5"/>
        <v>06:00:00</v>
      </c>
      <c r="H148" t="str">
        <f>LEFT(SearchData[[#This Row],[userId]],8)</f>
        <v>fbfa025f</v>
      </c>
    </row>
    <row r="149" spans="1:8">
      <c r="A149" t="s">
        <v>346</v>
      </c>
      <c r="B149" t="s">
        <v>308</v>
      </c>
      <c r="C149" s="5">
        <v>45848.591544687501</v>
      </c>
      <c r="D149">
        <v>3921</v>
      </c>
      <c r="E149" s="3" t="s">
        <v>309</v>
      </c>
      <c r="F149" s="12">
        <f t="shared" si="4"/>
        <v>45848.258211354165</v>
      </c>
      <c r="G149" s="10" t="str">
        <f t="shared" si="5"/>
        <v>06:15:00</v>
      </c>
      <c r="H149" t="str">
        <f>LEFT(SearchData[[#This Row],[userId]],8)</f>
        <v>72d846eb</v>
      </c>
    </row>
    <row r="150" spans="1:8">
      <c r="A150" t="s">
        <v>347</v>
      </c>
      <c r="B150" t="s">
        <v>137</v>
      </c>
      <c r="C150" s="5">
        <v>45848.612567430559</v>
      </c>
      <c r="D150">
        <v>3921</v>
      </c>
      <c r="E150" s="3" t="s">
        <v>309</v>
      </c>
      <c r="F150" s="12">
        <f t="shared" si="4"/>
        <v>45848.279234097223</v>
      </c>
      <c r="G150" s="10" t="str">
        <f t="shared" si="5"/>
        <v>06:45:00</v>
      </c>
      <c r="H150" t="str">
        <f>LEFT(SearchData[[#This Row],[userId]],8)</f>
        <v>fb7d1ae3</v>
      </c>
    </row>
    <row r="151" spans="1:8">
      <c r="A151" t="s">
        <v>348</v>
      </c>
      <c r="B151" t="s">
        <v>137</v>
      </c>
      <c r="C151" s="5">
        <v>45848.625743993056</v>
      </c>
      <c r="D151">
        <v>3921</v>
      </c>
      <c r="E151" s="3" t="s">
        <v>298</v>
      </c>
      <c r="F151" s="12">
        <f t="shared" si="4"/>
        <v>45848.29241065972</v>
      </c>
      <c r="G151" s="10" t="str">
        <f t="shared" si="5"/>
        <v>07:00:00</v>
      </c>
      <c r="H151" t="str">
        <f>LEFT(SearchData[[#This Row],[userId]],8)</f>
        <v>fb7d1ae3</v>
      </c>
    </row>
    <row r="152" spans="1:8">
      <c r="A152" t="s">
        <v>349</v>
      </c>
      <c r="B152" t="s">
        <v>192</v>
      </c>
      <c r="C152" s="5">
        <v>45848.721495925929</v>
      </c>
      <c r="D152">
        <v>82158</v>
      </c>
      <c r="E152" s="3" t="s">
        <v>5</v>
      </c>
      <c r="F152" s="12">
        <f t="shared" si="4"/>
        <v>45848.388162592593</v>
      </c>
      <c r="G152" s="10" t="str">
        <f t="shared" si="5"/>
        <v>09:15:00</v>
      </c>
      <c r="H152" t="str">
        <f>LEFT(SearchData[[#This Row],[userId]],8)</f>
        <v>fbfa025f</v>
      </c>
    </row>
    <row r="153" spans="1:8">
      <c r="A153" t="s">
        <v>350</v>
      </c>
      <c r="B153" t="s">
        <v>137</v>
      </c>
      <c r="C153" s="5">
        <v>45848.724694999997</v>
      </c>
      <c r="D153">
        <v>3925</v>
      </c>
      <c r="E153" s="3" t="s">
        <v>309</v>
      </c>
      <c r="F153" s="12">
        <f t="shared" si="4"/>
        <v>45848.391361666661</v>
      </c>
      <c r="G153" s="10" t="str">
        <f t="shared" si="5"/>
        <v>09:30:00</v>
      </c>
      <c r="H153" t="str">
        <f>LEFT(SearchData[[#This Row],[userId]],8)</f>
        <v>fb7d1ae3</v>
      </c>
    </row>
    <row r="154" spans="1:8">
      <c r="A154" t="s">
        <v>351</v>
      </c>
      <c r="B154" t="s">
        <v>192</v>
      </c>
      <c r="C154" s="5">
        <v>45848.767809398145</v>
      </c>
      <c r="D154">
        <v>82161</v>
      </c>
      <c r="E154" s="3" t="s">
        <v>5</v>
      </c>
      <c r="F154" s="12">
        <f t="shared" si="4"/>
        <v>45848.434476064809</v>
      </c>
      <c r="G154" s="10" t="str">
        <f t="shared" si="5"/>
        <v>10:30:00</v>
      </c>
      <c r="H154" t="str">
        <f>LEFT(SearchData[[#This Row],[userId]],8)</f>
        <v>fbfa025f</v>
      </c>
    </row>
    <row r="155" spans="1:8">
      <c r="A155" t="s">
        <v>352</v>
      </c>
      <c r="B155" t="s">
        <v>137</v>
      </c>
      <c r="C155" s="5">
        <v>45848.768229351852</v>
      </c>
      <c r="D155">
        <v>3927</v>
      </c>
      <c r="E155" s="3" t="s">
        <v>309</v>
      </c>
      <c r="F155" s="12">
        <f t="shared" si="4"/>
        <v>45848.434896018516</v>
      </c>
      <c r="G155" s="10" t="str">
        <f t="shared" si="5"/>
        <v>10:30:00</v>
      </c>
      <c r="H155" t="str">
        <f>LEFT(SearchData[[#This Row],[userId]],8)</f>
        <v>fb7d1ae3</v>
      </c>
    </row>
    <row r="156" spans="1:8">
      <c r="A156" t="s">
        <v>353</v>
      </c>
      <c r="B156" t="s">
        <v>137</v>
      </c>
      <c r="C156" s="5">
        <v>45848.790229375001</v>
      </c>
      <c r="D156">
        <v>4</v>
      </c>
      <c r="E156" s="3" t="s">
        <v>298</v>
      </c>
      <c r="F156" s="12">
        <f t="shared" si="4"/>
        <v>45848.456896041665</v>
      </c>
      <c r="G156" s="10" t="str">
        <f t="shared" si="5"/>
        <v>11:00:00</v>
      </c>
      <c r="H156" t="str">
        <f>LEFT(SearchData[[#This Row],[userId]],8)</f>
        <v>fb7d1ae3</v>
      </c>
    </row>
    <row r="157" spans="1:8">
      <c r="A157" t="s">
        <v>354</v>
      </c>
      <c r="B157" t="s">
        <v>137</v>
      </c>
      <c r="C157" s="5">
        <v>45848.792889791664</v>
      </c>
      <c r="D157">
        <v>3927</v>
      </c>
      <c r="E157" s="3" t="s">
        <v>298</v>
      </c>
      <c r="F157" s="12">
        <f t="shared" si="4"/>
        <v>45848.459556458329</v>
      </c>
      <c r="G157" s="10" t="str">
        <f t="shared" si="5"/>
        <v>11:00:00</v>
      </c>
      <c r="H157" t="str">
        <f>LEFT(SearchData[[#This Row],[userId]],8)</f>
        <v>fb7d1ae3</v>
      </c>
    </row>
    <row r="158" spans="1:8">
      <c r="A158" t="s">
        <v>355</v>
      </c>
      <c r="B158" t="s">
        <v>137</v>
      </c>
      <c r="C158" s="5">
        <v>45848.819967164352</v>
      </c>
      <c r="D158">
        <v>3927</v>
      </c>
      <c r="E158" s="3" t="s">
        <v>309</v>
      </c>
      <c r="F158" s="12">
        <f t="shared" si="4"/>
        <v>45848.486633831017</v>
      </c>
      <c r="G158" s="10" t="str">
        <f t="shared" si="5"/>
        <v>11:45:00</v>
      </c>
      <c r="H158" t="str">
        <f>LEFT(SearchData[[#This Row],[userId]],8)</f>
        <v>fb7d1ae3</v>
      </c>
    </row>
    <row r="159" spans="1:8">
      <c r="A159" t="s">
        <v>356</v>
      </c>
      <c r="B159" t="s">
        <v>192</v>
      </c>
      <c r="C159" s="5">
        <v>45848.831390624997</v>
      </c>
      <c r="D159">
        <v>82194</v>
      </c>
      <c r="E159" s="3" t="s">
        <v>129</v>
      </c>
      <c r="F159" s="12">
        <f t="shared" si="4"/>
        <v>45848.498057291661</v>
      </c>
      <c r="G159" s="10" t="str">
        <f t="shared" si="5"/>
        <v>12:00:00</v>
      </c>
      <c r="H159" t="str">
        <f>LEFT(SearchData[[#This Row],[userId]],8)</f>
        <v>fbfa025f</v>
      </c>
    </row>
    <row r="160" spans="1:8">
      <c r="A160" t="s">
        <v>357</v>
      </c>
      <c r="B160" t="s">
        <v>137</v>
      </c>
      <c r="C160" s="5">
        <v>45848.859730138887</v>
      </c>
      <c r="D160">
        <v>3931</v>
      </c>
      <c r="E160" s="3" t="s">
        <v>298</v>
      </c>
      <c r="F160" s="12">
        <f t="shared" si="4"/>
        <v>45848.526396805551</v>
      </c>
      <c r="G160" s="10" t="str">
        <f t="shared" si="5"/>
        <v>12:45:00</v>
      </c>
      <c r="H160" t="str">
        <f>LEFT(SearchData[[#This Row],[userId]],8)</f>
        <v>fb7d1ae3</v>
      </c>
    </row>
    <row r="161" spans="1:8">
      <c r="A161" t="s">
        <v>358</v>
      </c>
      <c r="B161" t="s">
        <v>262</v>
      </c>
      <c r="C161" s="5">
        <v>45849.362025625</v>
      </c>
      <c r="D161">
        <v>3931</v>
      </c>
      <c r="E161" s="3">
        <v>2504567</v>
      </c>
      <c r="F161" s="12">
        <f t="shared" si="4"/>
        <v>45849.028692291664</v>
      </c>
      <c r="G161" s="10" t="str">
        <f t="shared" si="5"/>
        <v>00:45:00</v>
      </c>
      <c r="H161" t="str">
        <f>LEFT(SearchData[[#This Row],[userId]],8)</f>
        <v>bd053b0f</v>
      </c>
    </row>
    <row r="162" spans="1:8">
      <c r="A162" t="s">
        <v>359</v>
      </c>
      <c r="B162" t="s">
        <v>262</v>
      </c>
      <c r="C162" s="5">
        <v>45849.368234745372</v>
      </c>
      <c r="D162">
        <v>3931</v>
      </c>
      <c r="E162" s="3" t="s">
        <v>11</v>
      </c>
      <c r="F162" s="12">
        <f t="shared" si="4"/>
        <v>45849.034901412037</v>
      </c>
      <c r="G162" s="10" t="str">
        <f t="shared" si="5"/>
        <v>00:45:00</v>
      </c>
      <c r="H162" t="str">
        <f>LEFT(SearchData[[#This Row],[userId]],8)</f>
        <v>bd053b0f</v>
      </c>
    </row>
    <row r="163" spans="1:8">
      <c r="A163" t="s">
        <v>360</v>
      </c>
      <c r="B163" t="s">
        <v>262</v>
      </c>
      <c r="C163" s="5">
        <v>45849.368360162036</v>
      </c>
      <c r="D163">
        <v>3931</v>
      </c>
      <c r="E163" s="3" t="s">
        <v>361</v>
      </c>
      <c r="F163" s="12">
        <f t="shared" si="4"/>
        <v>45849.0350268287</v>
      </c>
      <c r="G163" s="10" t="str">
        <f t="shared" si="5"/>
        <v>00:45:00</v>
      </c>
      <c r="H163" t="str">
        <f>LEFT(SearchData[[#This Row],[userId]],8)</f>
        <v>bd053b0f</v>
      </c>
    </row>
    <row r="164" spans="1:8">
      <c r="A164" t="s">
        <v>362</v>
      </c>
      <c r="B164" t="s">
        <v>363</v>
      </c>
      <c r="C164" s="5">
        <v>45849.370034502317</v>
      </c>
      <c r="D164">
        <v>3931</v>
      </c>
      <c r="E164" s="3" t="s">
        <v>364</v>
      </c>
      <c r="F164" s="12">
        <f t="shared" si="4"/>
        <v>45849.036701168981</v>
      </c>
      <c r="G164" s="10" t="str">
        <f t="shared" si="5"/>
        <v>01:00:00</v>
      </c>
      <c r="H164" t="str">
        <f>LEFT(SearchData[[#This Row],[userId]],8)</f>
        <v>42a9846a</v>
      </c>
    </row>
    <row r="165" spans="1:8">
      <c r="A165" t="s">
        <v>365</v>
      </c>
      <c r="B165" t="s">
        <v>262</v>
      </c>
      <c r="C165" s="5">
        <v>45849.542630150463</v>
      </c>
      <c r="D165">
        <v>3931</v>
      </c>
      <c r="E165" s="3" t="s">
        <v>366</v>
      </c>
      <c r="F165" s="12">
        <f t="shared" si="4"/>
        <v>45849.209296817127</v>
      </c>
      <c r="G165" s="10" t="str">
        <f t="shared" si="5"/>
        <v>05:00:00</v>
      </c>
      <c r="H165" t="str">
        <f>LEFT(SearchData[[#This Row],[userId]],8)</f>
        <v>bd053b0f</v>
      </c>
    </row>
    <row r="166" spans="1:8">
      <c r="A166" t="s">
        <v>367</v>
      </c>
      <c r="B166" t="s">
        <v>262</v>
      </c>
      <c r="C166" s="5">
        <v>45849.542744803242</v>
      </c>
      <c r="D166">
        <v>3931</v>
      </c>
      <c r="E166" s="3" t="s">
        <v>368</v>
      </c>
      <c r="F166" s="12">
        <f t="shared" si="4"/>
        <v>45849.209411469907</v>
      </c>
      <c r="G166" s="10" t="str">
        <f t="shared" si="5"/>
        <v>05:00:00</v>
      </c>
      <c r="H166" t="str">
        <f>LEFT(SearchData[[#This Row],[userId]],8)</f>
        <v>bd053b0f</v>
      </c>
    </row>
    <row r="167" spans="1:8">
      <c r="A167" t="s">
        <v>369</v>
      </c>
      <c r="B167" t="s">
        <v>137</v>
      </c>
      <c r="C167" s="5">
        <v>45849.705504965277</v>
      </c>
      <c r="D167">
        <v>3935</v>
      </c>
      <c r="E167" s="3" t="s">
        <v>370</v>
      </c>
      <c r="F167" s="12">
        <f t="shared" si="4"/>
        <v>45849.372171631941</v>
      </c>
      <c r="G167" s="10" t="str">
        <f t="shared" si="5"/>
        <v>09:00:00</v>
      </c>
      <c r="H167" t="str">
        <f>LEFT(SearchData[[#This Row],[userId]],8)</f>
        <v>fb7d1ae3</v>
      </c>
    </row>
    <row r="168" spans="1:8">
      <c r="A168" t="s">
        <v>371</v>
      </c>
      <c r="B168" t="s">
        <v>137</v>
      </c>
      <c r="C168" s="5">
        <v>45849.764019652779</v>
      </c>
      <c r="D168">
        <v>3935</v>
      </c>
      <c r="E168" s="3" t="s">
        <v>13</v>
      </c>
      <c r="F168" s="12">
        <f t="shared" si="4"/>
        <v>45849.430686319443</v>
      </c>
      <c r="G168" s="10" t="str">
        <f t="shared" si="5"/>
        <v>10:15:00</v>
      </c>
      <c r="H168" t="str">
        <f>LEFT(SearchData[[#This Row],[userId]],8)</f>
        <v>fb7d1ae3</v>
      </c>
    </row>
    <row r="169" spans="1:8">
      <c r="A169" t="s">
        <v>372</v>
      </c>
      <c r="B169" t="s">
        <v>137</v>
      </c>
      <c r="C169" s="5">
        <v>45849.873315914352</v>
      </c>
      <c r="D169">
        <v>3935</v>
      </c>
      <c r="E169" s="3" t="s">
        <v>13</v>
      </c>
      <c r="F169" s="12">
        <f t="shared" si="4"/>
        <v>45849.539982581016</v>
      </c>
      <c r="G169" s="10" t="str">
        <f t="shared" si="5"/>
        <v>13:00:00</v>
      </c>
      <c r="H169" t="str">
        <f>LEFT(SearchData[[#This Row],[userId]],8)</f>
        <v>fb7d1ae3</v>
      </c>
    </row>
    <row r="170" spans="1:8">
      <c r="A170" t="s">
        <v>373</v>
      </c>
      <c r="B170" t="s">
        <v>262</v>
      </c>
      <c r="C170" s="5">
        <v>45850.246711180553</v>
      </c>
      <c r="D170">
        <v>0</v>
      </c>
      <c r="E170" s="3" t="s">
        <v>13</v>
      </c>
      <c r="F170" s="12">
        <f t="shared" si="4"/>
        <v>45849.913377847217</v>
      </c>
      <c r="G170" s="10" t="str">
        <f t="shared" si="5"/>
        <v>22:00:00</v>
      </c>
      <c r="H170" t="str">
        <f>LEFT(SearchData[[#This Row],[userId]],8)</f>
        <v>bd053b0f</v>
      </c>
    </row>
    <row r="171" spans="1:8">
      <c r="A171" t="s">
        <v>374</v>
      </c>
      <c r="B171" t="s">
        <v>137</v>
      </c>
      <c r="C171" s="5">
        <v>45852.624937708337</v>
      </c>
      <c r="D171">
        <v>3</v>
      </c>
      <c r="E171" s="3" t="s">
        <v>375</v>
      </c>
      <c r="F171" s="12">
        <f t="shared" si="4"/>
        <v>45852.291604375001</v>
      </c>
      <c r="G171" s="10" t="str">
        <f t="shared" si="5"/>
        <v>07:00:00</v>
      </c>
      <c r="H171" t="str">
        <f>LEFT(SearchData[[#This Row],[userId]],8)</f>
        <v>fb7d1ae3</v>
      </c>
    </row>
    <row r="172" spans="1:8">
      <c r="A172" t="s">
        <v>376</v>
      </c>
      <c r="B172" t="s">
        <v>137</v>
      </c>
      <c r="C172" s="5">
        <v>45852.627995879629</v>
      </c>
      <c r="D172">
        <v>3937</v>
      </c>
      <c r="E172" s="3" t="s">
        <v>375</v>
      </c>
      <c r="F172" s="12">
        <f t="shared" si="4"/>
        <v>45852.294662546294</v>
      </c>
      <c r="G172" s="10" t="str">
        <f t="shared" si="5"/>
        <v>07:00:00</v>
      </c>
      <c r="H172" t="str">
        <f>LEFT(SearchData[[#This Row],[userId]],8)</f>
        <v>fb7d1ae3</v>
      </c>
    </row>
    <row r="173" spans="1:8">
      <c r="A173" t="s">
        <v>377</v>
      </c>
      <c r="B173" t="s">
        <v>228</v>
      </c>
      <c r="C173" s="5">
        <v>45853.639795578703</v>
      </c>
      <c r="D173">
        <v>3940</v>
      </c>
      <c r="E173" s="3" t="s">
        <v>229</v>
      </c>
      <c r="F173" s="12">
        <f t="shared" si="4"/>
        <v>45853.306462245368</v>
      </c>
      <c r="G173" s="10" t="str">
        <f t="shared" si="5"/>
        <v>07:15:00</v>
      </c>
      <c r="H173" t="str">
        <f>LEFT(SearchData[[#This Row],[userId]],8)</f>
        <v>865aaa25</v>
      </c>
    </row>
    <row r="174" spans="1:8">
      <c r="A174" t="s">
        <v>378</v>
      </c>
      <c r="B174" t="s">
        <v>228</v>
      </c>
      <c r="C174" s="5">
        <v>45853.642420543983</v>
      </c>
      <c r="D174">
        <v>3942</v>
      </c>
      <c r="E174" s="3" t="s">
        <v>182</v>
      </c>
      <c r="F174" s="12">
        <f t="shared" si="4"/>
        <v>45853.309087210648</v>
      </c>
      <c r="G174" s="10" t="str">
        <f t="shared" si="5"/>
        <v>07:30:00</v>
      </c>
      <c r="H174" t="str">
        <f>LEFT(SearchData[[#This Row],[userId]],8)</f>
        <v>865aaa25</v>
      </c>
    </row>
    <row r="175" spans="1:8">
      <c r="A175" t="s">
        <v>379</v>
      </c>
      <c r="B175" t="s">
        <v>137</v>
      </c>
      <c r="C175" s="5">
        <v>45853.680324780093</v>
      </c>
      <c r="D175">
        <v>3945</v>
      </c>
      <c r="E175" s="3" t="s">
        <v>298</v>
      </c>
      <c r="F175" s="12">
        <f t="shared" si="4"/>
        <v>45853.346991446757</v>
      </c>
      <c r="G175" s="10" t="str">
        <f t="shared" si="5"/>
        <v>08:15:00</v>
      </c>
      <c r="H175" t="str">
        <f>LEFT(SearchData[[#This Row],[userId]],8)</f>
        <v>fb7d1ae3</v>
      </c>
    </row>
    <row r="176" spans="1:8">
      <c r="A176" t="s">
        <v>380</v>
      </c>
      <c r="B176" t="s">
        <v>192</v>
      </c>
      <c r="C176" s="5">
        <v>45854.653194641207</v>
      </c>
      <c r="D176">
        <v>3961</v>
      </c>
      <c r="E176" s="3" t="s">
        <v>5</v>
      </c>
      <c r="F176" s="12">
        <f t="shared" si="4"/>
        <v>45854.319861307871</v>
      </c>
      <c r="G176" s="10" t="str">
        <f t="shared" si="5"/>
        <v>07:45:00</v>
      </c>
      <c r="H176" t="str">
        <f>LEFT(SearchData[[#This Row],[userId]],8)</f>
        <v>fbfa025f</v>
      </c>
    </row>
    <row r="177" spans="1:8">
      <c r="A177" t="s">
        <v>381</v>
      </c>
      <c r="B177" t="s">
        <v>233</v>
      </c>
      <c r="C177" s="5">
        <v>45854.657276284721</v>
      </c>
      <c r="D177">
        <v>3961</v>
      </c>
      <c r="E177" s="3" t="s">
        <v>382</v>
      </c>
      <c r="F177" s="12">
        <f t="shared" si="4"/>
        <v>45854.323942951385</v>
      </c>
      <c r="G177" s="10" t="str">
        <f t="shared" si="5"/>
        <v>07:45:00</v>
      </c>
      <c r="H177" t="str">
        <f>LEFT(SearchData[[#This Row],[userId]],8)</f>
        <v>01b52c2e</v>
      </c>
    </row>
    <row r="178" spans="1:8">
      <c r="A178" t="s">
        <v>383</v>
      </c>
      <c r="B178" t="s">
        <v>192</v>
      </c>
      <c r="C178" s="5">
        <v>45854.666686018521</v>
      </c>
      <c r="D178">
        <v>3961</v>
      </c>
      <c r="E178" s="3" t="s">
        <v>5</v>
      </c>
      <c r="F178" s="12">
        <f t="shared" si="4"/>
        <v>45854.333352685186</v>
      </c>
      <c r="G178" s="10" t="str">
        <f t="shared" si="5"/>
        <v>08:00:00</v>
      </c>
      <c r="H178" t="str">
        <f>LEFT(SearchData[[#This Row],[userId]],8)</f>
        <v>fbfa025f</v>
      </c>
    </row>
    <row r="179" spans="1:8">
      <c r="A179" t="s">
        <v>384</v>
      </c>
      <c r="B179" t="s">
        <v>137</v>
      </c>
      <c r="C179" s="5">
        <v>45854.771021423614</v>
      </c>
      <c r="D179">
        <v>3961</v>
      </c>
      <c r="E179" s="3" t="s">
        <v>385</v>
      </c>
      <c r="F179" s="12">
        <f t="shared" si="4"/>
        <v>45854.437688090278</v>
      </c>
      <c r="G179" s="10" t="str">
        <f t="shared" si="5"/>
        <v>10:30:00</v>
      </c>
      <c r="H179" t="str">
        <f>LEFT(SearchData[[#This Row],[userId]],8)</f>
        <v>fb7d1ae3</v>
      </c>
    </row>
    <row r="180" spans="1:8">
      <c r="A180" t="s">
        <v>386</v>
      </c>
      <c r="B180" t="s">
        <v>137</v>
      </c>
      <c r="C180" s="5">
        <v>45855.062517743056</v>
      </c>
      <c r="D180">
        <v>3961</v>
      </c>
      <c r="E180" s="3" t="s">
        <v>387</v>
      </c>
      <c r="F180" s="12">
        <f t="shared" si="4"/>
        <v>45854.72918440972</v>
      </c>
      <c r="G180" s="10" t="str">
        <f t="shared" si="5"/>
        <v>17:30:00</v>
      </c>
      <c r="H180" t="str">
        <f>LEFT(SearchData[[#This Row],[userId]],8)</f>
        <v>fb7d1ae3</v>
      </c>
    </row>
    <row r="181" spans="1:8">
      <c r="A181" t="s">
        <v>388</v>
      </c>
      <c r="B181" t="s">
        <v>137</v>
      </c>
      <c r="C181" s="5">
        <v>45855.100048796296</v>
      </c>
      <c r="D181">
        <v>3961</v>
      </c>
      <c r="E181" s="3" t="s">
        <v>387</v>
      </c>
      <c r="F181" s="12">
        <f t="shared" si="4"/>
        <v>45854.76671546296</v>
      </c>
      <c r="G181" s="10" t="str">
        <f t="shared" si="5"/>
        <v>18:30:00</v>
      </c>
      <c r="H181" t="str">
        <f>LEFT(SearchData[[#This Row],[userId]],8)</f>
        <v>fb7d1ae3</v>
      </c>
    </row>
    <row r="182" spans="1:8">
      <c r="A182" t="s">
        <v>389</v>
      </c>
      <c r="B182" t="s">
        <v>137</v>
      </c>
      <c r="C182" s="5">
        <v>45855.129743310186</v>
      </c>
      <c r="D182">
        <v>3961</v>
      </c>
      <c r="E182" s="3" t="s">
        <v>387</v>
      </c>
      <c r="F182" s="12">
        <f t="shared" si="4"/>
        <v>45854.796409976851</v>
      </c>
      <c r="G182" s="10" t="str">
        <f t="shared" si="5"/>
        <v>19:00:00</v>
      </c>
      <c r="H182" t="str">
        <f>LEFT(SearchData[[#This Row],[userId]],8)</f>
        <v>fb7d1ae3</v>
      </c>
    </row>
    <row r="183" spans="1:8">
      <c r="A183" t="s">
        <v>390</v>
      </c>
      <c r="B183" t="s">
        <v>391</v>
      </c>
      <c r="C183" s="5">
        <v>45855.147201354164</v>
      </c>
      <c r="D183">
        <v>82698</v>
      </c>
      <c r="E183" s="3" t="s">
        <v>392</v>
      </c>
      <c r="F183" s="12">
        <f t="shared" si="4"/>
        <v>45854.813868020829</v>
      </c>
      <c r="G183" s="10" t="str">
        <f t="shared" si="5"/>
        <v>19:30:00</v>
      </c>
      <c r="H183" t="str">
        <f>LEFT(SearchData[[#This Row],[userId]],8)</f>
        <v>162b0343</v>
      </c>
    </row>
    <row r="184" spans="1:8">
      <c r="A184" t="s">
        <v>393</v>
      </c>
      <c r="B184" t="s">
        <v>137</v>
      </c>
      <c r="C184" s="5">
        <v>45855.16833922454</v>
      </c>
      <c r="D184">
        <v>3961</v>
      </c>
      <c r="E184" s="3" t="s">
        <v>387</v>
      </c>
      <c r="F184" s="12">
        <f t="shared" si="4"/>
        <v>45854.835005891204</v>
      </c>
      <c r="G184" s="10" t="str">
        <f t="shared" si="5"/>
        <v>20:00:00</v>
      </c>
      <c r="H184" t="str">
        <f>LEFT(SearchData[[#This Row],[userId]],8)</f>
        <v>fb7d1ae3</v>
      </c>
    </row>
    <row r="185" spans="1:8">
      <c r="A185" t="s">
        <v>394</v>
      </c>
      <c r="B185" t="s">
        <v>137</v>
      </c>
      <c r="C185" s="5">
        <v>45855.213639062502</v>
      </c>
      <c r="D185">
        <v>3961</v>
      </c>
      <c r="E185" s="3" t="s">
        <v>387</v>
      </c>
      <c r="F185" s="12">
        <f t="shared" si="4"/>
        <v>45854.880305729166</v>
      </c>
      <c r="G185" s="10" t="str">
        <f t="shared" si="5"/>
        <v>21:15:00</v>
      </c>
      <c r="H185" t="str">
        <f>LEFT(SearchData[[#This Row],[userId]],8)</f>
        <v>fb7d1ae3</v>
      </c>
    </row>
    <row r="186" spans="1:8">
      <c r="A186" t="s">
        <v>395</v>
      </c>
      <c r="B186" t="s">
        <v>137</v>
      </c>
      <c r="C186" s="5">
        <v>45855.593803171294</v>
      </c>
      <c r="D186">
        <v>3961</v>
      </c>
      <c r="E186" s="3" t="s">
        <v>387</v>
      </c>
      <c r="F186" s="12">
        <f t="shared" si="4"/>
        <v>45855.260469837958</v>
      </c>
      <c r="G186" s="10" t="str">
        <f t="shared" si="5"/>
        <v>06:15:00</v>
      </c>
      <c r="H186" t="str">
        <f>LEFT(SearchData[[#This Row],[userId]],8)</f>
        <v>fb7d1ae3</v>
      </c>
    </row>
    <row r="187" spans="1:8">
      <c r="A187" t="s">
        <v>396</v>
      </c>
      <c r="B187" t="s">
        <v>137</v>
      </c>
      <c r="C187" s="5">
        <v>45855.654585937496</v>
      </c>
      <c r="D187">
        <v>3961</v>
      </c>
      <c r="E187" s="3" t="s">
        <v>397</v>
      </c>
      <c r="F187" s="12">
        <f t="shared" si="4"/>
        <v>45855.321252604161</v>
      </c>
      <c r="G187" s="10" t="str">
        <f t="shared" si="5"/>
        <v>07:45:00</v>
      </c>
      <c r="H187" t="str">
        <f>LEFT(SearchData[[#This Row],[userId]],8)</f>
        <v>fb7d1ae3</v>
      </c>
    </row>
    <row r="188" spans="1:8">
      <c r="A188" t="s">
        <v>398</v>
      </c>
      <c r="B188" t="s">
        <v>203</v>
      </c>
      <c r="C188" s="5">
        <v>45855.679408599535</v>
      </c>
      <c r="D188">
        <v>82724</v>
      </c>
      <c r="E188" s="3" t="s">
        <v>186</v>
      </c>
      <c r="F188" s="12">
        <f t="shared" si="4"/>
        <v>45855.346075266199</v>
      </c>
      <c r="G188" s="10" t="str">
        <f t="shared" si="5"/>
        <v>08:15:00</v>
      </c>
      <c r="H188" t="str">
        <f>LEFT(SearchData[[#This Row],[userId]],8)</f>
        <v>5099fed4</v>
      </c>
    </row>
    <row r="189" spans="1:8">
      <c r="A189" t="s">
        <v>399</v>
      </c>
      <c r="B189" t="s">
        <v>137</v>
      </c>
      <c r="C189" s="5">
        <v>45855.704866782406</v>
      </c>
      <c r="D189">
        <v>3963</v>
      </c>
      <c r="E189" s="3" t="s">
        <v>13</v>
      </c>
      <c r="F189" s="12">
        <f t="shared" si="4"/>
        <v>45855.37153344907</v>
      </c>
      <c r="G189" s="10" t="str">
        <f t="shared" si="5"/>
        <v>09:00:00</v>
      </c>
      <c r="H189" t="str">
        <f>LEFT(SearchData[[#This Row],[userId]],8)</f>
        <v>fb7d1ae3</v>
      </c>
    </row>
    <row r="190" spans="1:8">
      <c r="A190" t="s">
        <v>400</v>
      </c>
      <c r="B190" t="s">
        <v>137</v>
      </c>
      <c r="C190" s="5">
        <v>45855.714896620368</v>
      </c>
      <c r="D190">
        <v>82730</v>
      </c>
      <c r="E190" s="3" t="s">
        <v>401</v>
      </c>
      <c r="F190" s="12">
        <f t="shared" si="4"/>
        <v>45855.381563287032</v>
      </c>
      <c r="G190" s="10" t="str">
        <f t="shared" si="5"/>
        <v>09:15:00</v>
      </c>
      <c r="H190" t="str">
        <f>LEFT(SearchData[[#This Row],[userId]],8)</f>
        <v>fb7d1ae3</v>
      </c>
    </row>
    <row r="191" spans="1:8">
      <c r="A191" t="s">
        <v>402</v>
      </c>
      <c r="B191" t="s">
        <v>137</v>
      </c>
      <c r="C191" s="5">
        <v>45855.795122071759</v>
      </c>
      <c r="D191">
        <v>3963</v>
      </c>
      <c r="E191" s="3" t="s">
        <v>403</v>
      </c>
      <c r="F191" s="12">
        <f t="shared" si="4"/>
        <v>45855.461788738423</v>
      </c>
      <c r="G191" s="10" t="str">
        <f t="shared" si="5"/>
        <v>11:00:00</v>
      </c>
      <c r="H191" t="str">
        <f>LEFT(SearchData[[#This Row],[userId]],8)</f>
        <v>fb7d1ae3</v>
      </c>
    </row>
    <row r="192" spans="1:8">
      <c r="A192" t="s">
        <v>404</v>
      </c>
      <c r="B192" t="s">
        <v>137</v>
      </c>
      <c r="C192" s="5">
        <v>45855.833644699072</v>
      </c>
      <c r="D192">
        <v>83047</v>
      </c>
      <c r="E192" s="3" t="s">
        <v>167</v>
      </c>
      <c r="F192" s="12">
        <f t="shared" si="4"/>
        <v>45855.500311365737</v>
      </c>
      <c r="G192" s="10" t="str">
        <f t="shared" si="5"/>
        <v>12:00:00</v>
      </c>
      <c r="H192" t="str">
        <f>LEFT(SearchData[[#This Row],[userId]],8)</f>
        <v>fb7d1ae3</v>
      </c>
    </row>
    <row r="193" spans="1:8">
      <c r="A193" t="s">
        <v>405</v>
      </c>
      <c r="B193" t="s">
        <v>137</v>
      </c>
      <c r="C193" s="5">
        <v>45855.846297905089</v>
      </c>
      <c r="D193">
        <v>3963</v>
      </c>
      <c r="E193" s="3" t="s">
        <v>406</v>
      </c>
      <c r="F193" s="12">
        <f t="shared" si="4"/>
        <v>45855.512964571753</v>
      </c>
      <c r="G193" s="10" t="str">
        <f t="shared" si="5"/>
        <v>12:15:00</v>
      </c>
      <c r="H193" t="str">
        <f>LEFT(SearchData[[#This Row],[userId]],8)</f>
        <v>fb7d1ae3</v>
      </c>
    </row>
    <row r="194" spans="1:8">
      <c r="A194" t="s">
        <v>407</v>
      </c>
      <c r="B194" t="s">
        <v>137</v>
      </c>
      <c r="C194" s="5">
        <v>45855.863970798608</v>
      </c>
      <c r="D194">
        <v>3963</v>
      </c>
      <c r="E194" s="3" t="s">
        <v>14</v>
      </c>
      <c r="F194" s="12">
        <f t="shared" ref="F194:F257" si="6">C194-TIME(8,0,0)</f>
        <v>45855.530637465272</v>
      </c>
      <c r="G194" s="10" t="str">
        <f t="shared" ref="G194:G257" si="7">TEXT(MROUND(C194-TIME(8,0,0), "0:15"),"HH:MM:SS")</f>
        <v>12:45:00</v>
      </c>
      <c r="H194" t="str">
        <f>LEFT(SearchData[[#This Row],[userId]],8)</f>
        <v>fb7d1ae3</v>
      </c>
    </row>
    <row r="195" spans="1:8">
      <c r="A195" t="s">
        <v>408</v>
      </c>
      <c r="B195" t="s">
        <v>137</v>
      </c>
      <c r="C195" s="5">
        <v>45855.915750266206</v>
      </c>
      <c r="D195">
        <v>3963</v>
      </c>
      <c r="E195" s="3" t="s">
        <v>167</v>
      </c>
      <c r="F195" s="12">
        <f t="shared" si="6"/>
        <v>45855.58241693287</v>
      </c>
      <c r="G195" s="10" t="str">
        <f t="shared" si="7"/>
        <v>14:00:00</v>
      </c>
      <c r="H195" t="str">
        <f>LEFT(SearchData[[#This Row],[userId]],8)</f>
        <v>fb7d1ae3</v>
      </c>
    </row>
    <row r="196" spans="1:8">
      <c r="A196" t="s">
        <v>409</v>
      </c>
      <c r="B196" t="s">
        <v>137</v>
      </c>
      <c r="C196" s="5">
        <v>45855.979955567127</v>
      </c>
      <c r="D196">
        <v>3963</v>
      </c>
      <c r="E196" s="3" t="s">
        <v>410</v>
      </c>
      <c r="F196" s="12">
        <f t="shared" si="6"/>
        <v>45855.646622233791</v>
      </c>
      <c r="G196" s="10" t="str">
        <f t="shared" si="7"/>
        <v>15:30:00</v>
      </c>
      <c r="H196" t="str">
        <f>LEFT(SearchData[[#This Row],[userId]],8)</f>
        <v>fb7d1ae3</v>
      </c>
    </row>
    <row r="197" spans="1:8">
      <c r="A197" t="s">
        <v>411</v>
      </c>
      <c r="B197" t="s">
        <v>203</v>
      </c>
      <c r="C197" s="5">
        <v>45856.502304930553</v>
      </c>
      <c r="D197">
        <v>3963</v>
      </c>
      <c r="E197" s="3" t="s">
        <v>296</v>
      </c>
      <c r="F197" s="12">
        <f t="shared" si="6"/>
        <v>45856.168971597217</v>
      </c>
      <c r="G197" s="10" t="str">
        <f t="shared" si="7"/>
        <v>04:00:00</v>
      </c>
      <c r="H197" t="str">
        <f>LEFT(SearchData[[#This Row],[userId]],8)</f>
        <v>5099fed4</v>
      </c>
    </row>
    <row r="198" spans="1:8">
      <c r="A198" t="s">
        <v>412</v>
      </c>
      <c r="B198" t="s">
        <v>262</v>
      </c>
      <c r="C198" s="5">
        <v>45857.430531446757</v>
      </c>
      <c r="D198">
        <v>0</v>
      </c>
      <c r="E198" s="3" t="s">
        <v>11</v>
      </c>
      <c r="F198" s="12">
        <f t="shared" si="6"/>
        <v>45857.097198113421</v>
      </c>
      <c r="G198" s="10" t="str">
        <f t="shared" si="7"/>
        <v>02:15:00</v>
      </c>
      <c r="H198" t="str">
        <f>LEFT(SearchData[[#This Row],[userId]],8)</f>
        <v>bd053b0f</v>
      </c>
    </row>
    <row r="199" spans="1:8">
      <c r="A199" t="s">
        <v>413</v>
      </c>
      <c r="B199" t="s">
        <v>262</v>
      </c>
      <c r="C199" s="5">
        <v>45857.432869374999</v>
      </c>
      <c r="D199">
        <v>3965</v>
      </c>
      <c r="E199" s="3">
        <v>2504795</v>
      </c>
      <c r="F199" s="12">
        <f t="shared" si="6"/>
        <v>45857.099536041664</v>
      </c>
      <c r="G199" s="10" t="str">
        <f t="shared" si="7"/>
        <v>02:30:00</v>
      </c>
      <c r="H199" t="str">
        <f>LEFT(SearchData[[#This Row],[userId]],8)</f>
        <v>bd053b0f</v>
      </c>
    </row>
    <row r="200" spans="1:8">
      <c r="A200" t="s">
        <v>414</v>
      </c>
      <c r="B200" t="s">
        <v>281</v>
      </c>
      <c r="C200" s="5">
        <v>45859.011371250002</v>
      </c>
      <c r="D200">
        <v>3969</v>
      </c>
      <c r="E200" s="3" t="s">
        <v>186</v>
      </c>
      <c r="F200" s="12">
        <f t="shared" si="6"/>
        <v>45858.678037916667</v>
      </c>
      <c r="G200" s="10" t="str">
        <f t="shared" si="7"/>
        <v>16:15:00</v>
      </c>
      <c r="H200" t="str">
        <f>LEFT(SearchData[[#This Row],[userId]],8)</f>
        <v>fc8596ff</v>
      </c>
    </row>
    <row r="201" spans="1:8">
      <c r="A201" t="s">
        <v>415</v>
      </c>
      <c r="B201" t="s">
        <v>281</v>
      </c>
      <c r="C201" s="5">
        <v>45859.01939587963</v>
      </c>
      <c r="D201">
        <v>3969</v>
      </c>
      <c r="E201" s="3" t="s">
        <v>416</v>
      </c>
      <c r="F201" s="12">
        <f t="shared" si="6"/>
        <v>45858.686062546294</v>
      </c>
      <c r="G201" s="10" t="str">
        <f t="shared" si="7"/>
        <v>16:30:00</v>
      </c>
      <c r="H201" t="str">
        <f>LEFT(SearchData[[#This Row],[userId]],8)</f>
        <v>fc8596ff</v>
      </c>
    </row>
    <row r="202" spans="1:8">
      <c r="A202" t="s">
        <v>417</v>
      </c>
      <c r="B202" t="s">
        <v>281</v>
      </c>
      <c r="C202" s="5">
        <v>45859.062808969909</v>
      </c>
      <c r="D202">
        <v>3969</v>
      </c>
      <c r="E202" s="3" t="s">
        <v>296</v>
      </c>
      <c r="F202" s="12">
        <f t="shared" si="6"/>
        <v>45858.729475636574</v>
      </c>
      <c r="G202" s="10" t="str">
        <f t="shared" si="7"/>
        <v>17:30:00</v>
      </c>
      <c r="H202" t="str">
        <f>LEFT(SearchData[[#This Row],[userId]],8)</f>
        <v>fc8596ff</v>
      </c>
    </row>
    <row r="203" spans="1:8">
      <c r="A203" t="s">
        <v>418</v>
      </c>
      <c r="B203" t="s">
        <v>281</v>
      </c>
      <c r="C203" s="5">
        <v>45859.086585381941</v>
      </c>
      <c r="D203">
        <v>3969</v>
      </c>
      <c r="E203" s="3" t="s">
        <v>296</v>
      </c>
      <c r="F203" s="12">
        <f t="shared" si="6"/>
        <v>45858.753252048606</v>
      </c>
      <c r="G203" s="10" t="str">
        <f t="shared" si="7"/>
        <v>18:00:00</v>
      </c>
      <c r="H203" t="str">
        <f>LEFT(SearchData[[#This Row],[userId]],8)</f>
        <v>fc8596ff</v>
      </c>
    </row>
    <row r="204" spans="1:8">
      <c r="A204" t="s">
        <v>419</v>
      </c>
      <c r="B204" t="s">
        <v>420</v>
      </c>
      <c r="C204" s="5">
        <v>45859.319121099536</v>
      </c>
      <c r="D204">
        <v>3969</v>
      </c>
      <c r="E204" s="3" t="s">
        <v>229</v>
      </c>
      <c r="F204" s="12">
        <f t="shared" si="6"/>
        <v>45858.9857877662</v>
      </c>
      <c r="G204" s="10" t="str">
        <f t="shared" si="7"/>
        <v>23:45:00</v>
      </c>
      <c r="H204" t="str">
        <f>LEFT(SearchData[[#This Row],[userId]],8)</f>
        <v>6d2d86c1</v>
      </c>
    </row>
    <row r="205" spans="1:8">
      <c r="A205" t="s">
        <v>421</v>
      </c>
      <c r="B205" t="s">
        <v>137</v>
      </c>
      <c r="C205" s="5">
        <v>45859.672975208334</v>
      </c>
      <c r="D205">
        <v>3</v>
      </c>
      <c r="E205" s="3" t="s">
        <v>401</v>
      </c>
      <c r="F205" s="12">
        <f t="shared" si="6"/>
        <v>45859.339641874998</v>
      </c>
      <c r="G205" s="10" t="str">
        <f t="shared" si="7"/>
        <v>08:15:00</v>
      </c>
      <c r="H205" t="str">
        <f>LEFT(SearchData[[#This Row],[userId]],8)</f>
        <v>fb7d1ae3</v>
      </c>
    </row>
    <row r="206" spans="1:8">
      <c r="A206" t="s">
        <v>422</v>
      </c>
      <c r="B206" t="s">
        <v>137</v>
      </c>
      <c r="C206" s="5">
        <v>45859.678097048614</v>
      </c>
      <c r="D206">
        <v>3969</v>
      </c>
      <c r="E206" s="3" t="s">
        <v>13</v>
      </c>
      <c r="F206" s="12">
        <f t="shared" si="6"/>
        <v>45859.344763715279</v>
      </c>
      <c r="G206" s="10" t="str">
        <f t="shared" si="7"/>
        <v>08:15:00</v>
      </c>
      <c r="H206" t="str">
        <f>LEFT(SearchData[[#This Row],[userId]],8)</f>
        <v>fb7d1ae3</v>
      </c>
    </row>
    <row r="207" spans="1:8">
      <c r="A207" t="s">
        <v>423</v>
      </c>
      <c r="B207" t="s">
        <v>137</v>
      </c>
      <c r="C207" s="5">
        <v>45859.931211446761</v>
      </c>
      <c r="D207">
        <v>3</v>
      </c>
      <c r="E207" s="3" t="s">
        <v>401</v>
      </c>
      <c r="F207" s="12">
        <f t="shared" si="6"/>
        <v>45859.597878113425</v>
      </c>
      <c r="G207" s="10" t="str">
        <f t="shared" si="7"/>
        <v>14:15:00</v>
      </c>
      <c r="H207" t="str">
        <f>LEFT(SearchData[[#This Row],[userId]],8)</f>
        <v>fb7d1ae3</v>
      </c>
    </row>
    <row r="208" spans="1:8">
      <c r="A208" t="s">
        <v>424</v>
      </c>
      <c r="B208" t="s">
        <v>281</v>
      </c>
      <c r="C208" s="5">
        <v>45860.164644039352</v>
      </c>
      <c r="D208">
        <v>3969</v>
      </c>
      <c r="E208" s="3" t="s">
        <v>186</v>
      </c>
      <c r="F208" s="12">
        <f t="shared" si="6"/>
        <v>45859.831310706017</v>
      </c>
      <c r="G208" s="10" t="str">
        <f t="shared" si="7"/>
        <v>20:00:00</v>
      </c>
      <c r="H208" t="str">
        <f>LEFT(SearchData[[#This Row],[userId]],8)</f>
        <v>fc8596ff</v>
      </c>
    </row>
    <row r="209" spans="1:8">
      <c r="A209" t="s">
        <v>425</v>
      </c>
      <c r="B209" t="s">
        <v>206</v>
      </c>
      <c r="C209" s="5">
        <v>45860.357833113427</v>
      </c>
      <c r="D209">
        <v>3969</v>
      </c>
      <c r="E209" s="3" t="s">
        <v>10</v>
      </c>
      <c r="F209" s="12">
        <f t="shared" si="6"/>
        <v>45860.024499780091</v>
      </c>
      <c r="G209" s="10" t="str">
        <f t="shared" si="7"/>
        <v>00:30:00</v>
      </c>
      <c r="H209" t="str">
        <f>LEFT(SearchData[[#This Row],[userId]],8)</f>
        <v>d6f7ed99</v>
      </c>
    </row>
    <row r="210" spans="1:8">
      <c r="A210" t="s">
        <v>426</v>
      </c>
      <c r="B210" t="s">
        <v>206</v>
      </c>
      <c r="C210" s="5">
        <v>45860.358761678239</v>
      </c>
      <c r="D210">
        <v>3969</v>
      </c>
      <c r="E210" s="3" t="s">
        <v>6</v>
      </c>
      <c r="F210" s="12">
        <f t="shared" si="6"/>
        <v>45860.025428344903</v>
      </c>
      <c r="G210" s="10" t="str">
        <f t="shared" si="7"/>
        <v>00:30:00</v>
      </c>
      <c r="H210" t="str">
        <f>LEFT(SearchData[[#This Row],[userId]],8)</f>
        <v>d6f7ed99</v>
      </c>
    </row>
    <row r="211" spans="1:8">
      <c r="A211" t="s">
        <v>427</v>
      </c>
      <c r="B211" t="s">
        <v>192</v>
      </c>
      <c r="C211" s="5">
        <v>45860.655302800929</v>
      </c>
      <c r="D211">
        <v>3971</v>
      </c>
      <c r="E211" s="3" t="s">
        <v>5</v>
      </c>
      <c r="F211" s="12">
        <f t="shared" si="6"/>
        <v>45860.321969467594</v>
      </c>
      <c r="G211" s="10" t="str">
        <f t="shared" si="7"/>
        <v>07:45:00</v>
      </c>
      <c r="H211" t="str">
        <f>LEFT(SearchData[[#This Row],[userId]],8)</f>
        <v>fbfa025f</v>
      </c>
    </row>
    <row r="212" spans="1:8">
      <c r="A212" t="s">
        <v>428</v>
      </c>
      <c r="B212" t="s">
        <v>192</v>
      </c>
      <c r="C212" s="5">
        <v>45860.933528726855</v>
      </c>
      <c r="D212">
        <v>3971</v>
      </c>
      <c r="E212" s="3" t="s">
        <v>5</v>
      </c>
      <c r="F212" s="12">
        <f t="shared" si="6"/>
        <v>45860.600195393519</v>
      </c>
      <c r="G212" s="10" t="str">
        <f t="shared" si="7"/>
        <v>14:30:00</v>
      </c>
      <c r="H212" t="str">
        <f>LEFT(SearchData[[#This Row],[userId]],8)</f>
        <v>fbfa025f</v>
      </c>
    </row>
    <row r="213" spans="1:8">
      <c r="A213" t="s">
        <v>429</v>
      </c>
      <c r="B213" t="s">
        <v>192</v>
      </c>
      <c r="C213" s="5">
        <v>45860.961400451386</v>
      </c>
      <c r="D213">
        <v>3971</v>
      </c>
      <c r="E213" s="3" t="s">
        <v>5</v>
      </c>
      <c r="F213" s="12">
        <f t="shared" si="6"/>
        <v>45860.62806711805</v>
      </c>
      <c r="G213" s="10" t="str">
        <f t="shared" si="7"/>
        <v>15:00:00</v>
      </c>
      <c r="H213" t="str">
        <f>LEFT(SearchData[[#This Row],[userId]],8)</f>
        <v>fbfa025f</v>
      </c>
    </row>
    <row r="214" spans="1:8">
      <c r="A214" t="s">
        <v>430</v>
      </c>
      <c r="B214" t="s">
        <v>137</v>
      </c>
      <c r="C214" s="5">
        <v>45860.961662766204</v>
      </c>
      <c r="D214">
        <v>83267</v>
      </c>
      <c r="E214" s="3" t="s">
        <v>162</v>
      </c>
      <c r="F214" s="12">
        <f t="shared" si="6"/>
        <v>45860.628329432868</v>
      </c>
      <c r="G214" s="10" t="str">
        <f t="shared" si="7"/>
        <v>15:00:00</v>
      </c>
      <c r="H214" t="str">
        <f>LEFT(SearchData[[#This Row],[userId]],8)</f>
        <v>fb7d1ae3</v>
      </c>
    </row>
    <row r="215" spans="1:8">
      <c r="A215" t="s">
        <v>431</v>
      </c>
      <c r="B215" t="s">
        <v>137</v>
      </c>
      <c r="C215" s="5">
        <v>45861.648499224539</v>
      </c>
      <c r="D215">
        <v>83791</v>
      </c>
      <c r="E215" s="3" t="s">
        <v>432</v>
      </c>
      <c r="F215" s="12">
        <f t="shared" si="6"/>
        <v>45861.315165891203</v>
      </c>
      <c r="G215" s="10" t="str">
        <f t="shared" si="7"/>
        <v>07:30:00</v>
      </c>
      <c r="H215" t="str">
        <f>LEFT(SearchData[[#This Row],[userId]],8)</f>
        <v>fb7d1ae3</v>
      </c>
    </row>
    <row r="216" spans="1:8">
      <c r="A216" t="s">
        <v>433</v>
      </c>
      <c r="B216" t="s">
        <v>137</v>
      </c>
      <c r="C216" s="5">
        <v>45862.653557569443</v>
      </c>
      <c r="D216">
        <v>83927</v>
      </c>
      <c r="E216" s="3" t="s">
        <v>434</v>
      </c>
      <c r="F216" s="12">
        <f t="shared" si="6"/>
        <v>45862.320224236108</v>
      </c>
      <c r="G216" s="10" t="str">
        <f t="shared" si="7"/>
        <v>07:45:00</v>
      </c>
      <c r="H216" t="str">
        <f>LEFT(SearchData[[#This Row],[userId]],8)</f>
        <v>fb7d1ae3</v>
      </c>
    </row>
    <row r="217" spans="1:8">
      <c r="A217" t="s">
        <v>435</v>
      </c>
      <c r="B217" t="s">
        <v>192</v>
      </c>
      <c r="C217" s="5">
        <v>45862.737510416664</v>
      </c>
      <c r="D217">
        <v>3978</v>
      </c>
      <c r="E217" s="3" t="s">
        <v>5</v>
      </c>
      <c r="F217" s="12">
        <f t="shared" si="6"/>
        <v>45862.404177083328</v>
      </c>
      <c r="G217" s="10" t="str">
        <f t="shared" si="7"/>
        <v>09:45:00</v>
      </c>
      <c r="H217" t="str">
        <f>LEFT(SearchData[[#This Row],[userId]],8)</f>
        <v>fbfa025f</v>
      </c>
    </row>
    <row r="218" spans="1:8">
      <c r="A218" t="s">
        <v>436</v>
      </c>
      <c r="B218" t="s">
        <v>192</v>
      </c>
      <c r="C218" s="5">
        <v>45862.877382210645</v>
      </c>
      <c r="D218">
        <v>3978</v>
      </c>
      <c r="E218" s="3" t="s">
        <v>5</v>
      </c>
      <c r="F218" s="12">
        <f t="shared" si="6"/>
        <v>45862.544048877309</v>
      </c>
      <c r="G218" s="10" t="str">
        <f t="shared" si="7"/>
        <v>13:00:00</v>
      </c>
      <c r="H218" t="str">
        <f>LEFT(SearchData[[#This Row],[userId]],8)</f>
        <v>fbfa025f</v>
      </c>
    </row>
    <row r="219" spans="1:8">
      <c r="A219" t="s">
        <v>437</v>
      </c>
      <c r="B219" t="s">
        <v>233</v>
      </c>
      <c r="C219" s="5">
        <v>45863.657252129633</v>
      </c>
      <c r="D219">
        <v>3980</v>
      </c>
      <c r="E219" s="3" t="s">
        <v>438</v>
      </c>
      <c r="F219" s="12">
        <f t="shared" si="6"/>
        <v>45863.323918796297</v>
      </c>
      <c r="G219" s="10" t="str">
        <f t="shared" si="7"/>
        <v>07:45:00</v>
      </c>
      <c r="H219" t="str">
        <f>LEFT(SearchData[[#This Row],[userId]],8)</f>
        <v>01b52c2e</v>
      </c>
    </row>
    <row r="220" spans="1:8">
      <c r="A220" t="s">
        <v>439</v>
      </c>
      <c r="B220" t="s">
        <v>233</v>
      </c>
      <c r="C220" s="5">
        <v>45863.657491712962</v>
      </c>
      <c r="D220">
        <v>3980</v>
      </c>
      <c r="E220" s="3" t="s">
        <v>440</v>
      </c>
      <c r="F220" s="12">
        <f t="shared" si="6"/>
        <v>45863.324158379626</v>
      </c>
      <c r="G220" s="10" t="str">
        <f t="shared" si="7"/>
        <v>07:45:00</v>
      </c>
      <c r="H220" t="str">
        <f>LEFT(SearchData[[#This Row],[userId]],8)</f>
        <v>01b52c2e</v>
      </c>
    </row>
    <row r="221" spans="1:8">
      <c r="A221" t="s">
        <v>441</v>
      </c>
      <c r="B221" t="s">
        <v>233</v>
      </c>
      <c r="C221" s="5">
        <v>45863.658139224535</v>
      </c>
      <c r="D221">
        <v>3980</v>
      </c>
      <c r="E221" s="3" t="s">
        <v>13</v>
      </c>
      <c r="F221" s="12">
        <f t="shared" si="6"/>
        <v>45863.3248058912</v>
      </c>
      <c r="G221" s="10" t="str">
        <f t="shared" si="7"/>
        <v>07:45:00</v>
      </c>
      <c r="H221" t="str">
        <f>LEFT(SearchData[[#This Row],[userId]],8)</f>
        <v>01b52c2e</v>
      </c>
    </row>
    <row r="222" spans="1:8">
      <c r="A222" t="s">
        <v>442</v>
      </c>
      <c r="B222" t="s">
        <v>443</v>
      </c>
      <c r="C222" s="5">
        <v>45863.903380682874</v>
      </c>
      <c r="D222">
        <v>3982</v>
      </c>
      <c r="E222" s="3" t="s">
        <v>444</v>
      </c>
      <c r="F222" s="12">
        <f t="shared" si="6"/>
        <v>45863.570047349538</v>
      </c>
      <c r="G222" s="10" t="str">
        <f t="shared" si="7"/>
        <v>13:45:00</v>
      </c>
      <c r="H222" t="str">
        <f>LEFT(SearchData[[#This Row],[userId]],8)</f>
        <v>65e0d73f</v>
      </c>
    </row>
    <row r="223" spans="1:8">
      <c r="A223" t="s">
        <v>445</v>
      </c>
      <c r="B223" t="s">
        <v>443</v>
      </c>
      <c r="C223" s="5">
        <v>45863.903879953701</v>
      </c>
      <c r="D223">
        <v>4080</v>
      </c>
      <c r="E223" s="3" t="s">
        <v>229</v>
      </c>
      <c r="F223" s="12">
        <f t="shared" si="6"/>
        <v>45863.570546620365</v>
      </c>
      <c r="G223" s="10" t="str">
        <f t="shared" si="7"/>
        <v>13:45:00</v>
      </c>
      <c r="H223" t="str">
        <f>LEFT(SearchData[[#This Row],[userId]],8)</f>
        <v>65e0d73f</v>
      </c>
    </row>
    <row r="224" spans="1:8">
      <c r="A224" t="s">
        <v>446</v>
      </c>
      <c r="B224" t="s">
        <v>262</v>
      </c>
      <c r="C224" s="5">
        <v>45864.173890520833</v>
      </c>
      <c r="D224">
        <v>3984</v>
      </c>
      <c r="E224" s="3">
        <v>25</v>
      </c>
      <c r="F224" s="12">
        <f t="shared" si="6"/>
        <v>45863.840557187497</v>
      </c>
      <c r="G224" s="10" t="str">
        <f t="shared" si="7"/>
        <v>20:15:00</v>
      </c>
      <c r="H224" t="str">
        <f>LEFT(SearchData[[#This Row],[userId]],8)</f>
        <v>bd053b0f</v>
      </c>
    </row>
    <row r="225" spans="1:8">
      <c r="A225" t="s">
        <v>447</v>
      </c>
      <c r="B225" t="s">
        <v>262</v>
      </c>
      <c r="C225" s="5">
        <v>45864.29025903935</v>
      </c>
      <c r="D225">
        <v>3984</v>
      </c>
      <c r="E225" s="3">
        <v>2504945</v>
      </c>
      <c r="F225" s="12">
        <f t="shared" si="6"/>
        <v>45863.956925706014</v>
      </c>
      <c r="G225" s="10" t="str">
        <f t="shared" si="7"/>
        <v>23:00:00</v>
      </c>
      <c r="H225" t="str">
        <f>LEFT(SearchData[[#This Row],[userId]],8)</f>
        <v>bd053b0f</v>
      </c>
    </row>
    <row r="226" spans="1:8">
      <c r="A226" t="s">
        <v>448</v>
      </c>
      <c r="B226" t="s">
        <v>262</v>
      </c>
      <c r="C226" s="5">
        <v>45864.294622326386</v>
      </c>
      <c r="D226">
        <v>3984</v>
      </c>
      <c r="E226" s="3">
        <v>2504945</v>
      </c>
      <c r="F226" s="12">
        <f t="shared" si="6"/>
        <v>45863.96128899305</v>
      </c>
      <c r="G226" s="10" t="str">
        <f t="shared" si="7"/>
        <v>23:00:00</v>
      </c>
      <c r="H226" t="str">
        <f>LEFT(SearchData[[#This Row],[userId]],8)</f>
        <v>bd053b0f</v>
      </c>
    </row>
    <row r="227" spans="1:8">
      <c r="A227" t="s">
        <v>449</v>
      </c>
      <c r="B227" t="s">
        <v>443</v>
      </c>
      <c r="C227" s="5">
        <v>45864.688837534719</v>
      </c>
      <c r="D227">
        <v>84086</v>
      </c>
      <c r="E227" s="3" t="s">
        <v>229</v>
      </c>
      <c r="F227" s="12">
        <f t="shared" si="6"/>
        <v>45864.355504201383</v>
      </c>
      <c r="G227" s="10" t="str">
        <f t="shared" si="7"/>
        <v>08:30:00</v>
      </c>
      <c r="H227" t="str">
        <f>LEFT(SearchData[[#This Row],[userId]],8)</f>
        <v>65e0d73f</v>
      </c>
    </row>
    <row r="228" spans="1:8">
      <c r="A228" t="s">
        <v>450</v>
      </c>
      <c r="B228" t="s">
        <v>391</v>
      </c>
      <c r="C228" s="5">
        <v>45865.166987037039</v>
      </c>
      <c r="D228">
        <v>84110</v>
      </c>
      <c r="E228" s="3" t="s">
        <v>451</v>
      </c>
      <c r="F228" s="12">
        <f t="shared" si="6"/>
        <v>45864.833653703703</v>
      </c>
      <c r="G228" s="10" t="str">
        <f t="shared" si="7"/>
        <v>20:00:00</v>
      </c>
      <c r="H228" t="str">
        <f>LEFT(SearchData[[#This Row],[userId]],8)</f>
        <v>162b0343</v>
      </c>
    </row>
    <row r="229" spans="1:8">
      <c r="A229" t="s">
        <v>452</v>
      </c>
      <c r="B229" t="s">
        <v>281</v>
      </c>
      <c r="C229" s="5">
        <v>45865.232858148149</v>
      </c>
      <c r="D229">
        <v>3988</v>
      </c>
      <c r="E229" s="3" t="s">
        <v>451</v>
      </c>
      <c r="F229" s="12">
        <f t="shared" si="6"/>
        <v>45864.899524814813</v>
      </c>
      <c r="G229" s="10" t="str">
        <f t="shared" si="7"/>
        <v>21:30:00</v>
      </c>
      <c r="H229" t="str">
        <f>LEFT(SearchData[[#This Row],[userId]],8)</f>
        <v>fc8596ff</v>
      </c>
    </row>
    <row r="230" spans="1:8">
      <c r="A230" t="s">
        <v>453</v>
      </c>
      <c r="B230" t="s">
        <v>262</v>
      </c>
      <c r="C230" s="5">
        <v>45865.569550219909</v>
      </c>
      <c r="D230">
        <v>3988</v>
      </c>
      <c r="E230" s="3">
        <v>2504945</v>
      </c>
      <c r="F230" s="12">
        <f t="shared" si="6"/>
        <v>45865.236216886573</v>
      </c>
      <c r="G230" s="10" t="str">
        <f t="shared" si="7"/>
        <v>05:45:00</v>
      </c>
      <c r="H230" t="str">
        <f>LEFT(SearchData[[#This Row],[userId]],8)</f>
        <v>bd053b0f</v>
      </c>
    </row>
    <row r="231" spans="1:8">
      <c r="A231" t="s">
        <v>454</v>
      </c>
      <c r="B231" t="s">
        <v>281</v>
      </c>
      <c r="C231" s="5">
        <v>45865.937631099536</v>
      </c>
      <c r="D231">
        <v>3992</v>
      </c>
      <c r="E231" s="3" t="s">
        <v>14</v>
      </c>
      <c r="F231" s="12">
        <f t="shared" si="6"/>
        <v>45865.6042977662</v>
      </c>
      <c r="G231" s="10" t="str">
        <f t="shared" si="7"/>
        <v>14:30:00</v>
      </c>
      <c r="H231" t="str">
        <f>LEFT(SearchData[[#This Row],[userId]],8)</f>
        <v>fc8596ff</v>
      </c>
    </row>
    <row r="232" spans="1:8">
      <c r="A232" t="s">
        <v>455</v>
      </c>
      <c r="B232" t="s">
        <v>281</v>
      </c>
      <c r="C232" s="5">
        <v>45865.964066805558</v>
      </c>
      <c r="D232">
        <v>3992</v>
      </c>
      <c r="E232" s="3" t="s">
        <v>14</v>
      </c>
      <c r="F232" s="12">
        <f t="shared" si="6"/>
        <v>45865.630733472222</v>
      </c>
      <c r="G232" s="10" t="str">
        <f t="shared" si="7"/>
        <v>15:15:00</v>
      </c>
      <c r="H232" t="str">
        <f>LEFT(SearchData[[#This Row],[userId]],8)</f>
        <v>fc8596ff</v>
      </c>
    </row>
    <row r="233" spans="1:8">
      <c r="A233" t="s">
        <v>456</v>
      </c>
      <c r="B233" t="s">
        <v>281</v>
      </c>
      <c r="C233" s="5">
        <v>45866.009750046294</v>
      </c>
      <c r="D233">
        <v>3992</v>
      </c>
      <c r="E233" s="3" t="s">
        <v>14</v>
      </c>
      <c r="F233" s="12">
        <f t="shared" si="6"/>
        <v>45865.676416712959</v>
      </c>
      <c r="G233" s="10" t="str">
        <f t="shared" si="7"/>
        <v>16:15:00</v>
      </c>
      <c r="H233" t="str">
        <f>LEFT(SearchData[[#This Row],[userId]],8)</f>
        <v>fc8596ff</v>
      </c>
    </row>
    <row r="234" spans="1:8">
      <c r="A234" t="s">
        <v>457</v>
      </c>
      <c r="B234" t="s">
        <v>281</v>
      </c>
      <c r="C234" s="5">
        <v>45866.110348923612</v>
      </c>
      <c r="D234">
        <v>3992</v>
      </c>
      <c r="E234" s="3" t="s">
        <v>14</v>
      </c>
      <c r="F234" s="12">
        <f t="shared" si="6"/>
        <v>45865.777015590276</v>
      </c>
      <c r="G234" s="10" t="str">
        <f t="shared" si="7"/>
        <v>18:45:00</v>
      </c>
      <c r="H234" t="str">
        <f>LEFT(SearchData[[#This Row],[userId]],8)</f>
        <v>fc8596ff</v>
      </c>
    </row>
    <row r="235" spans="1:8">
      <c r="A235" t="s">
        <v>458</v>
      </c>
      <c r="B235" t="s">
        <v>281</v>
      </c>
      <c r="C235" s="5">
        <v>45866.154266192127</v>
      </c>
      <c r="D235">
        <v>3992</v>
      </c>
      <c r="E235" s="3" t="s">
        <v>14</v>
      </c>
      <c r="F235" s="12">
        <f t="shared" si="6"/>
        <v>45865.820932858791</v>
      </c>
      <c r="G235" s="10" t="str">
        <f t="shared" si="7"/>
        <v>19:45:00</v>
      </c>
      <c r="H235" t="str">
        <f>LEFT(SearchData[[#This Row],[userId]],8)</f>
        <v>fc8596ff</v>
      </c>
    </row>
    <row r="236" spans="1:8">
      <c r="A236" t="s">
        <v>459</v>
      </c>
      <c r="B236" t="s">
        <v>281</v>
      </c>
      <c r="C236" s="5">
        <v>45866.247032974534</v>
      </c>
      <c r="D236">
        <v>3992</v>
      </c>
      <c r="E236" s="3" t="s">
        <v>14</v>
      </c>
      <c r="F236" s="12">
        <f t="shared" si="6"/>
        <v>45865.913699641198</v>
      </c>
      <c r="G236" s="10" t="str">
        <f t="shared" si="7"/>
        <v>22:00:00</v>
      </c>
      <c r="H236" t="str">
        <f>LEFT(SearchData[[#This Row],[userId]],8)</f>
        <v>fc8596ff</v>
      </c>
    </row>
    <row r="237" spans="1:8">
      <c r="A237" t="s">
        <v>460</v>
      </c>
      <c r="B237" t="s">
        <v>281</v>
      </c>
      <c r="C237" s="5">
        <v>45866.262705428242</v>
      </c>
      <c r="D237">
        <v>3992</v>
      </c>
      <c r="E237" s="3" t="s">
        <v>296</v>
      </c>
      <c r="F237" s="12">
        <f t="shared" si="6"/>
        <v>45865.929372094906</v>
      </c>
      <c r="G237" s="10" t="str">
        <f t="shared" si="7"/>
        <v>22:15:00</v>
      </c>
      <c r="H237" t="str">
        <f>LEFT(SearchData[[#This Row],[userId]],8)</f>
        <v>fc8596ff</v>
      </c>
    </row>
    <row r="238" spans="1:8">
      <c r="A238" s="1" t="s">
        <v>461</v>
      </c>
      <c r="B238" t="s">
        <v>420</v>
      </c>
      <c r="C238" s="5">
        <v>45866.418225138892</v>
      </c>
      <c r="D238">
        <v>3992</v>
      </c>
      <c r="E238" s="3" t="s">
        <v>211</v>
      </c>
      <c r="F238" s="12">
        <f t="shared" si="6"/>
        <v>45866.084891805556</v>
      </c>
      <c r="G238" s="10" t="str">
        <f t="shared" si="7"/>
        <v>02:00:00</v>
      </c>
      <c r="H238" t="str">
        <f>LEFT(SearchData[[#This Row],[userId]],8)</f>
        <v>6d2d86c1</v>
      </c>
    </row>
    <row r="239" spans="1:8">
      <c r="A239" t="s">
        <v>462</v>
      </c>
      <c r="B239" t="s">
        <v>137</v>
      </c>
      <c r="C239" s="5">
        <v>45866.657003368055</v>
      </c>
      <c r="D239">
        <v>3992</v>
      </c>
      <c r="E239" s="3" t="s">
        <v>14</v>
      </c>
      <c r="F239" s="12">
        <f t="shared" si="6"/>
        <v>45866.323670034719</v>
      </c>
      <c r="G239" s="10" t="str">
        <f t="shared" si="7"/>
        <v>07:45:00</v>
      </c>
      <c r="H239" t="str">
        <f>LEFT(SearchData[[#This Row],[userId]],8)</f>
        <v>fb7d1ae3</v>
      </c>
    </row>
    <row r="240" spans="1:8">
      <c r="A240" t="s">
        <v>463</v>
      </c>
      <c r="B240" t="s">
        <v>192</v>
      </c>
      <c r="C240" s="5">
        <v>45866.669804108795</v>
      </c>
      <c r="D240">
        <v>84195</v>
      </c>
      <c r="E240" s="3" t="s">
        <v>5</v>
      </c>
      <c r="F240" s="12">
        <f t="shared" si="6"/>
        <v>45866.336470775459</v>
      </c>
      <c r="G240" s="10" t="str">
        <f t="shared" si="7"/>
        <v>08:00:00</v>
      </c>
      <c r="H240" t="str">
        <f>LEFT(SearchData[[#This Row],[userId]],8)</f>
        <v>fbfa025f</v>
      </c>
    </row>
    <row r="241" spans="1:8">
      <c r="A241" t="s">
        <v>464</v>
      </c>
      <c r="B241" t="s">
        <v>137</v>
      </c>
      <c r="C241" s="5">
        <v>45866.671315231484</v>
      </c>
      <c r="D241">
        <v>3992</v>
      </c>
      <c r="E241" s="3" t="s">
        <v>14</v>
      </c>
      <c r="F241" s="12">
        <f t="shared" si="6"/>
        <v>45866.337981898148</v>
      </c>
      <c r="G241" s="10" t="str">
        <f t="shared" si="7"/>
        <v>08:00:00</v>
      </c>
      <c r="H241" t="str">
        <f>LEFT(SearchData[[#This Row],[userId]],8)</f>
        <v>fb7d1ae3</v>
      </c>
    </row>
    <row r="242" spans="1:8">
      <c r="A242" t="s">
        <v>465</v>
      </c>
      <c r="B242" t="s">
        <v>233</v>
      </c>
      <c r="C242" s="5">
        <v>45866.858910000003</v>
      </c>
      <c r="D242">
        <v>3994</v>
      </c>
      <c r="E242" s="3" t="s">
        <v>466</v>
      </c>
      <c r="F242" s="12">
        <f t="shared" si="6"/>
        <v>45866.525576666667</v>
      </c>
      <c r="G242" s="10" t="str">
        <f t="shared" si="7"/>
        <v>12:30:00</v>
      </c>
      <c r="H242" t="str">
        <f>LEFT(SearchData[[#This Row],[userId]],8)</f>
        <v>01b52c2e</v>
      </c>
    </row>
    <row r="243" spans="1:8">
      <c r="A243" t="s">
        <v>467</v>
      </c>
      <c r="B243" t="s">
        <v>137</v>
      </c>
      <c r="C243" s="5">
        <v>45867.642964942126</v>
      </c>
      <c r="D243">
        <v>3996</v>
      </c>
      <c r="E243" s="3" t="s">
        <v>468</v>
      </c>
      <c r="F243" s="12">
        <f t="shared" si="6"/>
        <v>45867.30963160879</v>
      </c>
      <c r="G243" s="10" t="str">
        <f t="shared" si="7"/>
        <v>07:30:00</v>
      </c>
      <c r="H243" t="str">
        <f>LEFT(SearchData[[#This Row],[userId]],8)</f>
        <v>fb7d1ae3</v>
      </c>
    </row>
    <row r="244" spans="1:8">
      <c r="A244" t="s">
        <v>469</v>
      </c>
      <c r="B244" t="s">
        <v>470</v>
      </c>
      <c r="C244" s="5">
        <v>45867.822129930559</v>
      </c>
      <c r="D244">
        <v>4000</v>
      </c>
      <c r="E244" s="3" t="s">
        <v>471</v>
      </c>
      <c r="F244" s="12">
        <f t="shared" si="6"/>
        <v>45867.488796597223</v>
      </c>
      <c r="G244" s="10" t="str">
        <f t="shared" si="7"/>
        <v>11:45:00</v>
      </c>
      <c r="H244" t="str">
        <f>LEFT(SearchData[[#This Row],[userId]],8)</f>
        <v>8eca698f</v>
      </c>
    </row>
    <row r="245" spans="1:8">
      <c r="A245" t="s">
        <v>472</v>
      </c>
      <c r="B245" t="s">
        <v>192</v>
      </c>
      <c r="C245" s="5">
        <v>45868.049324189815</v>
      </c>
      <c r="D245">
        <v>4004</v>
      </c>
      <c r="E245" s="3" t="s">
        <v>12</v>
      </c>
      <c r="F245" s="12">
        <f t="shared" si="6"/>
        <v>45867.715990856479</v>
      </c>
      <c r="G245" s="10" t="str">
        <f t="shared" si="7"/>
        <v>17:15:00</v>
      </c>
      <c r="H245" t="str">
        <f>LEFT(SearchData[[#This Row],[userId]],8)</f>
        <v>fbfa025f</v>
      </c>
    </row>
    <row r="246" spans="1:8">
      <c r="A246" t="s">
        <v>473</v>
      </c>
      <c r="B246" t="s">
        <v>420</v>
      </c>
      <c r="C246" s="5">
        <v>45868.298052407408</v>
      </c>
      <c r="D246">
        <v>4004</v>
      </c>
      <c r="E246" s="3" t="s">
        <v>211</v>
      </c>
      <c r="F246" s="12">
        <f t="shared" si="6"/>
        <v>45867.964719074072</v>
      </c>
      <c r="G246" s="10" t="str">
        <f t="shared" si="7"/>
        <v>23:15:00</v>
      </c>
      <c r="H246" t="str">
        <f>LEFT(SearchData[[#This Row],[userId]],8)</f>
        <v>6d2d86c1</v>
      </c>
    </row>
    <row r="247" spans="1:8">
      <c r="A247" t="s">
        <v>474</v>
      </c>
      <c r="B247" t="s">
        <v>443</v>
      </c>
      <c r="C247" s="5">
        <v>45868.594051319444</v>
      </c>
      <c r="D247">
        <v>84385</v>
      </c>
      <c r="E247" s="3" t="s">
        <v>294</v>
      </c>
      <c r="F247" s="12">
        <f t="shared" si="6"/>
        <v>45868.260717986108</v>
      </c>
      <c r="G247" s="10" t="str">
        <f t="shared" si="7"/>
        <v>06:15:00</v>
      </c>
      <c r="H247" t="str">
        <f>LEFT(SearchData[[#This Row],[userId]],8)</f>
        <v>65e0d73f</v>
      </c>
    </row>
    <row r="248" spans="1:8">
      <c r="A248" t="s">
        <v>475</v>
      </c>
      <c r="B248" t="s">
        <v>470</v>
      </c>
      <c r="C248" s="5">
        <v>45870.653082187499</v>
      </c>
      <c r="D248">
        <v>4004</v>
      </c>
      <c r="E248" s="3" t="s">
        <v>21</v>
      </c>
      <c r="F248" s="12">
        <f t="shared" si="6"/>
        <v>45870.319748854163</v>
      </c>
      <c r="G248" s="10" t="str">
        <f t="shared" si="7"/>
        <v>07:45:00</v>
      </c>
      <c r="H248" t="str">
        <f>LEFT(SearchData[[#This Row],[userId]],8)</f>
        <v>8eca698f</v>
      </c>
    </row>
    <row r="249" spans="1:8">
      <c r="A249" t="s">
        <v>476</v>
      </c>
      <c r="B249" t="s">
        <v>233</v>
      </c>
      <c r="C249" s="5">
        <v>45871.577072280095</v>
      </c>
      <c r="D249">
        <v>4007</v>
      </c>
      <c r="E249" s="3" t="s">
        <v>13</v>
      </c>
      <c r="F249" s="12">
        <f t="shared" si="6"/>
        <v>45871.24373894676</v>
      </c>
      <c r="G249" s="10" t="str">
        <f t="shared" si="7"/>
        <v>05:45:00</v>
      </c>
      <c r="H249" t="str">
        <f>LEFT(SearchData[[#This Row],[userId]],8)</f>
        <v>01b52c2e</v>
      </c>
    </row>
    <row r="250" spans="1:8">
      <c r="A250" t="s">
        <v>477</v>
      </c>
      <c r="B250" t="s">
        <v>478</v>
      </c>
      <c r="C250" s="5">
        <v>45871.611293425929</v>
      </c>
      <c r="D250">
        <v>4007</v>
      </c>
      <c r="E250" s="3" t="s">
        <v>250</v>
      </c>
      <c r="F250" s="12">
        <f t="shared" si="6"/>
        <v>45871.277960092593</v>
      </c>
      <c r="G250" s="10" t="str">
        <f t="shared" si="7"/>
        <v>06:45:00</v>
      </c>
      <c r="H250" t="str">
        <f>LEFT(SearchData[[#This Row],[userId]],8)</f>
        <v>dd5359fa</v>
      </c>
    </row>
    <row r="251" spans="1:8">
      <c r="A251" t="s">
        <v>479</v>
      </c>
      <c r="B251" t="s">
        <v>203</v>
      </c>
      <c r="C251" s="5">
        <v>45871.738382511576</v>
      </c>
      <c r="D251">
        <v>4007</v>
      </c>
      <c r="E251" s="3" t="s">
        <v>480</v>
      </c>
      <c r="F251" s="12">
        <f t="shared" si="6"/>
        <v>45871.40504917824</v>
      </c>
      <c r="G251" s="10" t="str">
        <f t="shared" si="7"/>
        <v>09:45:00</v>
      </c>
      <c r="H251" t="str">
        <f>LEFT(SearchData[[#This Row],[userId]],8)</f>
        <v>5099fed4</v>
      </c>
    </row>
    <row r="252" spans="1:8">
      <c r="A252" s="1" t="s">
        <v>481</v>
      </c>
      <c r="B252" t="s">
        <v>203</v>
      </c>
      <c r="C252" s="5">
        <v>45871.739705358799</v>
      </c>
      <c r="D252">
        <v>4007</v>
      </c>
      <c r="E252" s="3" t="s">
        <v>296</v>
      </c>
      <c r="F252" s="12">
        <f t="shared" si="6"/>
        <v>45871.406372025463</v>
      </c>
      <c r="G252" s="10" t="str">
        <f t="shared" si="7"/>
        <v>09:45:00</v>
      </c>
      <c r="H252" t="str">
        <f>LEFT(SearchData[[#This Row],[userId]],8)</f>
        <v>5099fed4</v>
      </c>
    </row>
    <row r="253" spans="1:8">
      <c r="A253" t="s">
        <v>482</v>
      </c>
      <c r="B253" t="s">
        <v>203</v>
      </c>
      <c r="C253" s="5">
        <v>45871.812228692128</v>
      </c>
      <c r="D253">
        <v>4007</v>
      </c>
      <c r="E253" s="3" t="s">
        <v>296</v>
      </c>
      <c r="F253" s="12">
        <f t="shared" si="6"/>
        <v>45871.478895358792</v>
      </c>
      <c r="G253" s="10" t="str">
        <f t="shared" si="7"/>
        <v>11:30:00</v>
      </c>
      <c r="H253" t="str">
        <f>LEFT(SearchData[[#This Row],[userId]],8)</f>
        <v>5099fed4</v>
      </c>
    </row>
    <row r="254" spans="1:8">
      <c r="A254" t="s">
        <v>483</v>
      </c>
      <c r="B254" t="s">
        <v>192</v>
      </c>
      <c r="C254" s="5">
        <v>45873.886208032411</v>
      </c>
      <c r="D254">
        <v>0</v>
      </c>
      <c r="E254" s="3" t="s">
        <v>484</v>
      </c>
      <c r="F254" s="12">
        <f t="shared" si="6"/>
        <v>45873.552874699075</v>
      </c>
      <c r="G254" s="10" t="str">
        <f t="shared" si="7"/>
        <v>13:15:00</v>
      </c>
      <c r="H254" t="str">
        <f>LEFT(SearchData[[#This Row],[userId]],8)</f>
        <v>fbfa025f</v>
      </c>
    </row>
    <row r="255" spans="1:8">
      <c r="A255" t="s">
        <v>485</v>
      </c>
      <c r="B255" t="s">
        <v>137</v>
      </c>
      <c r="C255" s="5">
        <v>45874.69660815972</v>
      </c>
      <c r="D255">
        <v>4012</v>
      </c>
      <c r="E255" s="3" t="s">
        <v>13</v>
      </c>
      <c r="F255" s="12">
        <f t="shared" si="6"/>
        <v>45874.363274826384</v>
      </c>
      <c r="G255" s="10" t="str">
        <f t="shared" si="7"/>
        <v>08:45:00</v>
      </c>
      <c r="H255" t="str">
        <f>LEFT(SearchData[[#This Row],[userId]],8)</f>
        <v>fb7d1ae3</v>
      </c>
    </row>
    <row r="256" spans="1:8">
      <c r="A256" t="s">
        <v>486</v>
      </c>
      <c r="B256" t="s">
        <v>487</v>
      </c>
      <c r="C256" s="5">
        <v>45875.73374181713</v>
      </c>
      <c r="D256">
        <v>4014</v>
      </c>
      <c r="E256" s="3" t="s">
        <v>488</v>
      </c>
      <c r="F256" s="12">
        <f t="shared" si="6"/>
        <v>45875.400408483794</v>
      </c>
      <c r="G256" s="10" t="str">
        <f t="shared" si="7"/>
        <v>09:30:00</v>
      </c>
      <c r="H256" t="str">
        <f>LEFT(SearchData[[#This Row],[userId]],8)</f>
        <v>f676770a</v>
      </c>
    </row>
    <row r="257" spans="1:8">
      <c r="A257" t="s">
        <v>489</v>
      </c>
      <c r="B257" t="s">
        <v>228</v>
      </c>
      <c r="C257" s="5">
        <v>45875.747159988423</v>
      </c>
      <c r="D257">
        <v>4014</v>
      </c>
      <c r="E257" s="3" t="s">
        <v>250</v>
      </c>
      <c r="F257" s="12">
        <f t="shared" si="6"/>
        <v>45875.413826655087</v>
      </c>
      <c r="G257" s="10" t="str">
        <f t="shared" si="7"/>
        <v>10:00:00</v>
      </c>
      <c r="H257" t="str">
        <f>LEFT(SearchData[[#This Row],[userId]],8)</f>
        <v>865aaa25</v>
      </c>
    </row>
    <row r="258" spans="1:8">
      <c r="A258" t="s">
        <v>490</v>
      </c>
      <c r="B258" t="s">
        <v>487</v>
      </c>
      <c r="C258" s="5">
        <v>45875.851600497685</v>
      </c>
      <c r="D258">
        <v>85555</v>
      </c>
      <c r="E258" s="3" t="s">
        <v>491</v>
      </c>
      <c r="F258" s="12">
        <f t="shared" ref="F258:F321" si="8">C258-TIME(8,0,0)</f>
        <v>45875.518267164349</v>
      </c>
      <c r="G258" s="10" t="str">
        <f t="shared" ref="G258:G321" si="9">TEXT(MROUND(C258-TIME(8,0,0), "0:15"),"HH:MM:SS")</f>
        <v>12:30:00</v>
      </c>
      <c r="H258" t="str">
        <f>LEFT(SearchData[[#This Row],[userId]],8)</f>
        <v>f676770a</v>
      </c>
    </row>
    <row r="259" spans="1:8">
      <c r="A259" t="s">
        <v>492</v>
      </c>
      <c r="B259" t="s">
        <v>487</v>
      </c>
      <c r="C259" s="5">
        <v>45875.853962581015</v>
      </c>
      <c r="D259">
        <v>85556</v>
      </c>
      <c r="E259" s="3" t="s">
        <v>493</v>
      </c>
      <c r="F259" s="12">
        <f t="shared" si="8"/>
        <v>45875.52062924768</v>
      </c>
      <c r="G259" s="10" t="str">
        <f t="shared" si="9"/>
        <v>12:30:00</v>
      </c>
      <c r="H259" t="str">
        <f>LEFT(SearchData[[#This Row],[userId]],8)</f>
        <v>f676770a</v>
      </c>
    </row>
    <row r="260" spans="1:8">
      <c r="A260" t="s">
        <v>494</v>
      </c>
      <c r="B260" t="s">
        <v>487</v>
      </c>
      <c r="C260" s="5">
        <v>45875.962875879632</v>
      </c>
      <c r="D260">
        <v>85585</v>
      </c>
      <c r="E260" s="3" t="s">
        <v>493</v>
      </c>
      <c r="F260" s="12">
        <f t="shared" si="8"/>
        <v>45875.629542546296</v>
      </c>
      <c r="G260" s="10" t="str">
        <f t="shared" si="9"/>
        <v>15:00:00</v>
      </c>
      <c r="H260" t="str">
        <f>LEFT(SearchData[[#This Row],[userId]],8)</f>
        <v>f676770a</v>
      </c>
    </row>
    <row r="261" spans="1:8">
      <c r="A261" t="s">
        <v>495</v>
      </c>
      <c r="B261" t="s">
        <v>137</v>
      </c>
      <c r="C261" s="5">
        <v>45875.98758228009</v>
      </c>
      <c r="D261">
        <v>85586</v>
      </c>
      <c r="E261" s="3" t="s">
        <v>401</v>
      </c>
      <c r="F261" s="12">
        <f t="shared" si="8"/>
        <v>45875.654248946754</v>
      </c>
      <c r="G261" s="10" t="str">
        <f t="shared" si="9"/>
        <v>15:45:00</v>
      </c>
      <c r="H261" t="str">
        <f>LEFT(SearchData[[#This Row],[userId]],8)</f>
        <v>fb7d1ae3</v>
      </c>
    </row>
    <row r="262" spans="1:8">
      <c r="A262" t="s">
        <v>496</v>
      </c>
      <c r="B262" t="s">
        <v>443</v>
      </c>
      <c r="C262" s="5">
        <v>45876.010980370367</v>
      </c>
      <c r="D262">
        <v>4120</v>
      </c>
      <c r="E262" s="3" t="s">
        <v>497</v>
      </c>
      <c r="F262" s="12">
        <f t="shared" si="8"/>
        <v>45875.677647037031</v>
      </c>
      <c r="G262" s="10" t="str">
        <f t="shared" si="9"/>
        <v>16:15:00</v>
      </c>
      <c r="H262" t="str">
        <f>LEFT(SearchData[[#This Row],[userId]],8)</f>
        <v>65e0d73f</v>
      </c>
    </row>
    <row r="263" spans="1:8">
      <c r="A263" t="s">
        <v>498</v>
      </c>
      <c r="B263" t="s">
        <v>314</v>
      </c>
      <c r="C263" s="5">
        <v>45876.629523275464</v>
      </c>
      <c r="D263">
        <v>0</v>
      </c>
      <c r="E263" s="3" t="s">
        <v>499</v>
      </c>
      <c r="F263" s="12">
        <f t="shared" si="8"/>
        <v>45876.296189942128</v>
      </c>
      <c r="G263" s="10" t="str">
        <f t="shared" si="9"/>
        <v>07:00:00</v>
      </c>
      <c r="H263" t="str">
        <f>LEFT(SearchData[[#This Row],[userId]],8)</f>
        <v>17ab8242</v>
      </c>
    </row>
    <row r="264" spans="1:8">
      <c r="A264" t="s">
        <v>500</v>
      </c>
      <c r="B264" t="s">
        <v>314</v>
      </c>
      <c r="C264" s="5">
        <v>45876.630479699073</v>
      </c>
      <c r="D264">
        <v>4022</v>
      </c>
      <c r="E264" s="3" t="s">
        <v>193</v>
      </c>
      <c r="F264" s="12">
        <f t="shared" si="8"/>
        <v>45876.297146365738</v>
      </c>
      <c r="G264" s="10" t="str">
        <f t="shared" si="9"/>
        <v>07:15:00</v>
      </c>
      <c r="H264" t="str">
        <f>LEFT(SearchData[[#This Row],[userId]],8)</f>
        <v>17ab8242</v>
      </c>
    </row>
    <row r="265" spans="1:8">
      <c r="A265" t="s">
        <v>501</v>
      </c>
      <c r="B265" t="s">
        <v>314</v>
      </c>
      <c r="C265" s="5">
        <v>45876.670607164349</v>
      </c>
      <c r="D265">
        <v>4024</v>
      </c>
      <c r="E265" s="3" t="s">
        <v>193</v>
      </c>
      <c r="F265" s="12">
        <f t="shared" si="8"/>
        <v>45876.337273831014</v>
      </c>
      <c r="G265" s="10" t="str">
        <f t="shared" si="9"/>
        <v>08:00:00</v>
      </c>
      <c r="H265" t="str">
        <f>LEFT(SearchData[[#This Row],[userId]],8)</f>
        <v>17ab8242</v>
      </c>
    </row>
    <row r="266" spans="1:8">
      <c r="A266" t="s">
        <v>502</v>
      </c>
      <c r="B266" t="s">
        <v>137</v>
      </c>
      <c r="C266" s="5">
        <v>45876.724162986109</v>
      </c>
      <c r="D266">
        <v>4026</v>
      </c>
      <c r="E266" s="3" t="s">
        <v>13</v>
      </c>
      <c r="F266" s="12">
        <f t="shared" si="8"/>
        <v>45876.390829652773</v>
      </c>
      <c r="G266" s="10" t="str">
        <f t="shared" si="9"/>
        <v>09:30:00</v>
      </c>
      <c r="H266" t="str">
        <f>LEFT(SearchData[[#This Row],[userId]],8)</f>
        <v>fb7d1ae3</v>
      </c>
    </row>
    <row r="267" spans="1:8">
      <c r="A267" t="s">
        <v>503</v>
      </c>
      <c r="B267" t="s">
        <v>137</v>
      </c>
      <c r="C267" s="5">
        <v>45876.769704502316</v>
      </c>
      <c r="D267">
        <v>4026</v>
      </c>
      <c r="E267" s="3" t="s">
        <v>167</v>
      </c>
      <c r="F267" s="12">
        <f t="shared" si="8"/>
        <v>45876.43637116898</v>
      </c>
      <c r="G267" s="10" t="str">
        <f t="shared" si="9"/>
        <v>10:30:00</v>
      </c>
      <c r="H267" t="str">
        <f>LEFT(SearchData[[#This Row],[userId]],8)</f>
        <v>fb7d1ae3</v>
      </c>
    </row>
    <row r="268" spans="1:8">
      <c r="A268" t="s">
        <v>504</v>
      </c>
      <c r="B268" t="s">
        <v>137</v>
      </c>
      <c r="C268" s="5">
        <v>45876.804826851854</v>
      </c>
      <c r="D268">
        <v>4026</v>
      </c>
      <c r="E268" s="3" t="s">
        <v>193</v>
      </c>
      <c r="F268" s="12">
        <f t="shared" si="8"/>
        <v>45876.471493518518</v>
      </c>
      <c r="G268" s="10" t="str">
        <f t="shared" si="9"/>
        <v>11:15:00</v>
      </c>
      <c r="H268" t="str">
        <f>LEFT(SearchData[[#This Row],[userId]],8)</f>
        <v>fb7d1ae3</v>
      </c>
    </row>
    <row r="269" spans="1:8">
      <c r="A269" t="s">
        <v>505</v>
      </c>
      <c r="B269" t="s">
        <v>470</v>
      </c>
      <c r="C269" s="5">
        <v>45876.847057210645</v>
      </c>
      <c r="D269">
        <v>4026</v>
      </c>
      <c r="E269" s="3" t="s">
        <v>499</v>
      </c>
      <c r="F269" s="12">
        <f t="shared" si="8"/>
        <v>45876.51372387731</v>
      </c>
      <c r="G269" s="10" t="str">
        <f t="shared" si="9"/>
        <v>12:15:00</v>
      </c>
      <c r="H269" t="str">
        <f>LEFT(SearchData[[#This Row],[userId]],8)</f>
        <v>8eca698f</v>
      </c>
    </row>
    <row r="270" spans="1:8">
      <c r="A270" t="s">
        <v>506</v>
      </c>
      <c r="B270" t="s">
        <v>314</v>
      </c>
      <c r="C270" s="5">
        <v>45876.847332962963</v>
      </c>
      <c r="D270">
        <v>4026</v>
      </c>
      <c r="E270" s="3" t="s">
        <v>499</v>
      </c>
      <c r="F270" s="12">
        <f t="shared" si="8"/>
        <v>45876.513999629628</v>
      </c>
      <c r="G270" s="10" t="str">
        <f t="shared" si="9"/>
        <v>12:15:00</v>
      </c>
      <c r="H270" t="str">
        <f>LEFT(SearchData[[#This Row],[userId]],8)</f>
        <v>17ab8242</v>
      </c>
    </row>
    <row r="271" spans="1:8">
      <c r="A271" t="s">
        <v>507</v>
      </c>
      <c r="B271" t="s">
        <v>470</v>
      </c>
      <c r="C271" s="5">
        <v>45876.886027824075</v>
      </c>
      <c r="D271">
        <v>4028</v>
      </c>
      <c r="E271" s="3" t="s">
        <v>499</v>
      </c>
      <c r="F271" s="12">
        <f t="shared" si="8"/>
        <v>45876.55269449074</v>
      </c>
      <c r="G271" s="10" t="str">
        <f t="shared" si="9"/>
        <v>13:15:00</v>
      </c>
      <c r="H271" t="str">
        <f>LEFT(SearchData[[#This Row],[userId]],8)</f>
        <v>8eca698f</v>
      </c>
    </row>
    <row r="272" spans="1:8">
      <c r="A272" t="s">
        <v>508</v>
      </c>
      <c r="B272" t="s">
        <v>137</v>
      </c>
      <c r="C272" s="5">
        <v>45876.901435567132</v>
      </c>
      <c r="D272">
        <v>4028</v>
      </c>
      <c r="E272" s="3" t="s">
        <v>193</v>
      </c>
      <c r="F272" s="12">
        <f t="shared" si="8"/>
        <v>45876.568102233796</v>
      </c>
      <c r="G272" s="10" t="str">
        <f t="shared" si="9"/>
        <v>13:45:00</v>
      </c>
      <c r="H272" t="str">
        <f>LEFT(SearchData[[#This Row],[userId]],8)</f>
        <v>fb7d1ae3</v>
      </c>
    </row>
    <row r="273" spans="1:8">
      <c r="A273" t="s">
        <v>509</v>
      </c>
      <c r="B273" t="s">
        <v>137</v>
      </c>
      <c r="C273" s="5">
        <v>45876.954761458335</v>
      </c>
      <c r="D273">
        <v>85823</v>
      </c>
      <c r="E273" s="3" t="s">
        <v>193</v>
      </c>
      <c r="F273" s="12">
        <f t="shared" si="8"/>
        <v>45876.621428125</v>
      </c>
      <c r="G273" s="10" t="str">
        <f t="shared" si="9"/>
        <v>15:00:00</v>
      </c>
      <c r="H273" t="str">
        <f>LEFT(SearchData[[#This Row],[userId]],8)</f>
        <v>fb7d1ae3</v>
      </c>
    </row>
    <row r="274" spans="1:8">
      <c r="A274" t="s">
        <v>510</v>
      </c>
      <c r="B274" t="s">
        <v>443</v>
      </c>
      <c r="C274" s="5">
        <v>45876.996684375001</v>
      </c>
      <c r="D274">
        <v>136</v>
      </c>
      <c r="E274" s="3" t="s">
        <v>14</v>
      </c>
      <c r="F274" s="12">
        <f t="shared" si="8"/>
        <v>45876.663351041665</v>
      </c>
      <c r="G274" s="10" t="str">
        <f t="shared" si="9"/>
        <v>16:00:00</v>
      </c>
      <c r="H274" t="str">
        <f>LEFT(SearchData[[#This Row],[userId]],8)</f>
        <v>65e0d73f</v>
      </c>
    </row>
    <row r="275" spans="1:8">
      <c r="A275" t="s">
        <v>511</v>
      </c>
      <c r="B275" t="s">
        <v>314</v>
      </c>
      <c r="C275" s="5">
        <v>45877.038690034722</v>
      </c>
      <c r="D275">
        <v>4028</v>
      </c>
      <c r="E275" s="3" t="s">
        <v>193</v>
      </c>
      <c r="F275" s="12">
        <f t="shared" si="8"/>
        <v>45876.705356701386</v>
      </c>
      <c r="G275" s="10" t="str">
        <f t="shared" si="9"/>
        <v>17:00:00</v>
      </c>
      <c r="H275" t="str">
        <f>LEFT(SearchData[[#This Row],[userId]],8)</f>
        <v>17ab8242</v>
      </c>
    </row>
    <row r="276" spans="1:8">
      <c r="A276" t="s">
        <v>512</v>
      </c>
      <c r="B276" t="s">
        <v>487</v>
      </c>
      <c r="C276" s="5">
        <v>45877.29060119213</v>
      </c>
      <c r="D276">
        <v>85832</v>
      </c>
      <c r="E276" s="3" t="s">
        <v>493</v>
      </c>
      <c r="F276" s="12">
        <f t="shared" si="8"/>
        <v>45876.957267858794</v>
      </c>
      <c r="G276" s="10" t="str">
        <f t="shared" si="9"/>
        <v>23:00:00</v>
      </c>
      <c r="H276" t="str">
        <f>LEFT(SearchData[[#This Row],[userId]],8)</f>
        <v>f676770a</v>
      </c>
    </row>
    <row r="277" spans="1:8">
      <c r="A277" t="s">
        <v>513</v>
      </c>
      <c r="B277" t="s">
        <v>487</v>
      </c>
      <c r="C277" s="5">
        <v>45877.291038981479</v>
      </c>
      <c r="D277">
        <v>4028</v>
      </c>
      <c r="E277" s="3" t="s">
        <v>302</v>
      </c>
      <c r="F277" s="12">
        <f t="shared" si="8"/>
        <v>45876.957705648143</v>
      </c>
      <c r="G277" s="10" t="str">
        <f t="shared" si="9"/>
        <v>23:00:00</v>
      </c>
      <c r="H277" t="str">
        <f>LEFT(SearchData[[#This Row],[userId]],8)</f>
        <v>f676770a</v>
      </c>
    </row>
    <row r="278" spans="1:8">
      <c r="A278" t="s">
        <v>514</v>
      </c>
      <c r="B278" t="s">
        <v>487</v>
      </c>
      <c r="C278" s="5">
        <v>45877.29172818287</v>
      </c>
      <c r="D278">
        <v>85832</v>
      </c>
      <c r="E278" s="3" t="s">
        <v>302</v>
      </c>
      <c r="F278" s="12">
        <f t="shared" si="8"/>
        <v>45876.958394849535</v>
      </c>
      <c r="G278" s="10" t="str">
        <f t="shared" si="9"/>
        <v>23:00:00</v>
      </c>
      <c r="H278" t="str">
        <f>LEFT(SearchData[[#This Row],[userId]],8)</f>
        <v>f676770a</v>
      </c>
    </row>
    <row r="279" spans="1:8">
      <c r="A279" t="s">
        <v>515</v>
      </c>
      <c r="B279" t="s">
        <v>487</v>
      </c>
      <c r="C279" s="5">
        <v>45877.294801944445</v>
      </c>
      <c r="D279">
        <v>4028</v>
      </c>
      <c r="E279" s="3" t="s">
        <v>516</v>
      </c>
      <c r="F279" s="12">
        <f t="shared" si="8"/>
        <v>45876.961468611109</v>
      </c>
      <c r="G279" s="10" t="str">
        <f t="shared" si="9"/>
        <v>23:00:00</v>
      </c>
      <c r="H279" t="str">
        <f>LEFT(SearchData[[#This Row],[userId]],8)</f>
        <v>f676770a</v>
      </c>
    </row>
    <row r="280" spans="1:8">
      <c r="A280" t="s">
        <v>517</v>
      </c>
      <c r="B280" t="s">
        <v>518</v>
      </c>
      <c r="C280" s="5">
        <v>45877.350970995372</v>
      </c>
      <c r="D280">
        <v>4028</v>
      </c>
      <c r="E280" s="3" t="s">
        <v>519</v>
      </c>
      <c r="F280" s="12">
        <f t="shared" si="8"/>
        <v>45877.017637662037</v>
      </c>
      <c r="G280" s="10" t="str">
        <f t="shared" si="9"/>
        <v>00:30:00</v>
      </c>
      <c r="H280" t="str">
        <f>LEFT(SearchData[[#This Row],[userId]],8)</f>
        <v>a4c34cb7</v>
      </c>
    </row>
    <row r="281" spans="1:8">
      <c r="A281" t="s">
        <v>520</v>
      </c>
      <c r="B281" t="s">
        <v>487</v>
      </c>
      <c r="C281" s="5">
        <v>45877.359572893518</v>
      </c>
      <c r="D281">
        <v>4028</v>
      </c>
      <c r="E281" s="3" t="s">
        <v>516</v>
      </c>
      <c r="F281" s="12">
        <f t="shared" si="8"/>
        <v>45877.026239560182</v>
      </c>
      <c r="G281" s="10" t="str">
        <f t="shared" si="9"/>
        <v>00:45:00</v>
      </c>
      <c r="H281" t="str">
        <f>LEFT(SearchData[[#This Row],[userId]],8)</f>
        <v>f676770a</v>
      </c>
    </row>
    <row r="282" spans="1:8">
      <c r="A282" t="s">
        <v>521</v>
      </c>
      <c r="B282" t="s">
        <v>487</v>
      </c>
      <c r="C282" s="5">
        <v>45877.361246678243</v>
      </c>
      <c r="D282">
        <v>85832</v>
      </c>
      <c r="E282" s="3" t="s">
        <v>186</v>
      </c>
      <c r="F282" s="12">
        <f t="shared" si="8"/>
        <v>45877.027913344908</v>
      </c>
      <c r="G282" s="10" t="str">
        <f t="shared" si="9"/>
        <v>00:45:00</v>
      </c>
      <c r="H282" t="str">
        <f>LEFT(SearchData[[#This Row],[userId]],8)</f>
        <v>f676770a</v>
      </c>
    </row>
    <row r="283" spans="1:8">
      <c r="A283" t="s">
        <v>522</v>
      </c>
      <c r="B283" t="s">
        <v>487</v>
      </c>
      <c r="C283" s="5">
        <v>45877.375005671296</v>
      </c>
      <c r="D283">
        <v>0</v>
      </c>
      <c r="E283" s="3" t="s">
        <v>186</v>
      </c>
      <c r="F283" s="12">
        <f t="shared" si="8"/>
        <v>45877.04167233796</v>
      </c>
      <c r="G283" s="10" t="str">
        <f t="shared" si="9"/>
        <v>01:00:00</v>
      </c>
      <c r="H283" t="str">
        <f>LEFT(SearchData[[#This Row],[userId]],8)</f>
        <v>f676770a</v>
      </c>
    </row>
    <row r="284" spans="1:8">
      <c r="A284" t="s">
        <v>523</v>
      </c>
      <c r="B284" t="s">
        <v>487</v>
      </c>
      <c r="C284" s="5">
        <v>45877.375950162037</v>
      </c>
      <c r="D284">
        <v>85832</v>
      </c>
      <c r="E284" s="3" t="s">
        <v>493</v>
      </c>
      <c r="F284" s="12">
        <f t="shared" si="8"/>
        <v>45877.042616828701</v>
      </c>
      <c r="G284" s="10" t="str">
        <f t="shared" si="9"/>
        <v>01:00:00</v>
      </c>
      <c r="H284" t="str">
        <f>LEFT(SearchData[[#This Row],[userId]],8)</f>
        <v>f676770a</v>
      </c>
    </row>
    <row r="285" spans="1:8">
      <c r="A285" t="s">
        <v>524</v>
      </c>
      <c r="B285" t="s">
        <v>420</v>
      </c>
      <c r="C285" s="5">
        <v>45878.258404328706</v>
      </c>
      <c r="D285">
        <v>4027</v>
      </c>
      <c r="E285" s="3" t="s">
        <v>229</v>
      </c>
      <c r="F285" s="12">
        <f t="shared" si="8"/>
        <v>45877.92507099537</v>
      </c>
      <c r="G285" s="10" t="str">
        <f t="shared" si="9"/>
        <v>22:15:00</v>
      </c>
      <c r="H285" t="str">
        <f>LEFT(SearchData[[#This Row],[userId]],8)</f>
        <v>6d2d86c1</v>
      </c>
    </row>
    <row r="286" spans="1:8">
      <c r="A286" t="s">
        <v>525</v>
      </c>
      <c r="B286" t="s">
        <v>137</v>
      </c>
      <c r="C286" s="5">
        <v>45878.26643974537</v>
      </c>
      <c r="D286">
        <v>4027</v>
      </c>
      <c r="E286" s="3" t="s">
        <v>403</v>
      </c>
      <c r="F286" s="12">
        <f t="shared" si="8"/>
        <v>45877.933106412034</v>
      </c>
      <c r="G286" s="10" t="str">
        <f t="shared" si="9"/>
        <v>22:30:00</v>
      </c>
      <c r="H286" t="str">
        <f>LEFT(SearchData[[#This Row],[userId]],8)</f>
        <v>fb7d1ae3</v>
      </c>
    </row>
    <row r="287" spans="1:8">
      <c r="A287" t="s">
        <v>526</v>
      </c>
      <c r="B287" t="s">
        <v>527</v>
      </c>
      <c r="C287" s="5">
        <v>45878.708516608793</v>
      </c>
      <c r="D287">
        <v>4027</v>
      </c>
      <c r="E287" s="3" t="s">
        <v>528</v>
      </c>
      <c r="F287" s="12">
        <f t="shared" si="8"/>
        <v>45878.375183275457</v>
      </c>
      <c r="G287" s="10" t="str">
        <f t="shared" si="9"/>
        <v>09:00:00</v>
      </c>
      <c r="H287" t="str">
        <f>LEFT(SearchData[[#This Row],[userId]],8)</f>
        <v>0e8ecca7</v>
      </c>
    </row>
    <row r="288" spans="1:8">
      <c r="A288" t="s">
        <v>529</v>
      </c>
      <c r="B288" t="s">
        <v>527</v>
      </c>
      <c r="C288" s="5">
        <v>45878.720000752313</v>
      </c>
      <c r="D288">
        <v>4027</v>
      </c>
      <c r="E288" s="3" t="s">
        <v>530</v>
      </c>
      <c r="F288" s="12">
        <f t="shared" si="8"/>
        <v>45878.386667418978</v>
      </c>
      <c r="G288" s="10" t="str">
        <f t="shared" si="9"/>
        <v>09:15:00</v>
      </c>
      <c r="H288" t="str">
        <f>LEFT(SearchData[[#This Row],[userId]],8)</f>
        <v>0e8ecca7</v>
      </c>
    </row>
    <row r="289" spans="1:8">
      <c r="A289" t="s">
        <v>531</v>
      </c>
      <c r="B289" t="s">
        <v>391</v>
      </c>
      <c r="C289" s="5">
        <v>45879.165478819443</v>
      </c>
      <c r="D289">
        <v>85962</v>
      </c>
      <c r="E289" s="3" t="s">
        <v>229</v>
      </c>
      <c r="F289" s="12">
        <f t="shared" si="8"/>
        <v>45878.832145486107</v>
      </c>
      <c r="G289" s="10" t="str">
        <f t="shared" si="9"/>
        <v>20:00:00</v>
      </c>
      <c r="H289" t="str">
        <f>LEFT(SearchData[[#This Row],[userId]],8)</f>
        <v>162b0343</v>
      </c>
    </row>
    <row r="290" spans="1:8">
      <c r="A290" t="s">
        <v>532</v>
      </c>
      <c r="B290" t="s">
        <v>391</v>
      </c>
      <c r="C290" s="5">
        <v>45879.211451782408</v>
      </c>
      <c r="D290">
        <v>85962</v>
      </c>
      <c r="E290" s="3" t="s">
        <v>533</v>
      </c>
      <c r="F290" s="12">
        <f t="shared" si="8"/>
        <v>45878.878118449073</v>
      </c>
      <c r="G290" s="10" t="str">
        <f t="shared" si="9"/>
        <v>21:00:00</v>
      </c>
      <c r="H290" t="str">
        <f>LEFT(SearchData[[#This Row],[userId]],8)</f>
        <v>162b0343</v>
      </c>
    </row>
    <row r="291" spans="1:8">
      <c r="A291" t="s">
        <v>534</v>
      </c>
      <c r="B291" t="s">
        <v>391</v>
      </c>
      <c r="C291" s="5">
        <v>45879.294231898151</v>
      </c>
      <c r="D291">
        <v>4027</v>
      </c>
      <c r="E291" s="3" t="s">
        <v>535</v>
      </c>
      <c r="F291" s="12">
        <f t="shared" si="8"/>
        <v>45878.960898564816</v>
      </c>
      <c r="G291" s="10" t="str">
        <f t="shared" si="9"/>
        <v>23:00:00</v>
      </c>
      <c r="H291" t="str">
        <f>LEFT(SearchData[[#This Row],[userId]],8)</f>
        <v>162b0343</v>
      </c>
    </row>
    <row r="292" spans="1:8">
      <c r="A292" t="s">
        <v>536</v>
      </c>
      <c r="B292" t="s">
        <v>391</v>
      </c>
      <c r="C292" s="5">
        <v>45879.317954143517</v>
      </c>
      <c r="D292">
        <v>85962</v>
      </c>
      <c r="E292" s="3" t="s">
        <v>9</v>
      </c>
      <c r="F292" s="12">
        <f t="shared" si="8"/>
        <v>45878.984620810181</v>
      </c>
      <c r="G292" s="10" t="str">
        <f t="shared" si="9"/>
        <v>23:45:00</v>
      </c>
      <c r="H292" t="str">
        <f>LEFT(SearchData[[#This Row],[userId]],8)</f>
        <v>162b0343</v>
      </c>
    </row>
    <row r="293" spans="1:8">
      <c r="A293" t="s">
        <v>537</v>
      </c>
      <c r="B293" t="s">
        <v>391</v>
      </c>
      <c r="C293" s="5">
        <v>45879.444168055554</v>
      </c>
      <c r="D293">
        <v>85962</v>
      </c>
      <c r="E293" s="3" t="s">
        <v>11</v>
      </c>
      <c r="F293" s="12">
        <f t="shared" si="8"/>
        <v>45879.110834722218</v>
      </c>
      <c r="G293" s="10" t="str">
        <f t="shared" si="9"/>
        <v>02:45:00</v>
      </c>
      <c r="H293" t="str">
        <f>LEFT(SearchData[[#This Row],[userId]],8)</f>
        <v>162b0343</v>
      </c>
    </row>
    <row r="294" spans="1:8">
      <c r="A294" t="s">
        <v>538</v>
      </c>
      <c r="B294" t="s">
        <v>281</v>
      </c>
      <c r="C294" s="5">
        <v>45879.588133136574</v>
      </c>
      <c r="D294">
        <v>4027</v>
      </c>
      <c r="E294" s="3" t="s">
        <v>186</v>
      </c>
      <c r="F294" s="12">
        <f t="shared" si="8"/>
        <v>45879.254799803239</v>
      </c>
      <c r="G294" s="10" t="str">
        <f t="shared" si="9"/>
        <v>06:00:00</v>
      </c>
      <c r="H294" t="str">
        <f>LEFT(SearchData[[#This Row],[userId]],8)</f>
        <v>fc8596ff</v>
      </c>
    </row>
    <row r="295" spans="1:8">
      <c r="A295" t="s">
        <v>539</v>
      </c>
      <c r="B295" t="s">
        <v>281</v>
      </c>
      <c r="C295" s="5">
        <v>45879.698346562502</v>
      </c>
      <c r="D295">
        <v>4027</v>
      </c>
      <c r="E295" s="3" t="s">
        <v>186</v>
      </c>
      <c r="F295" s="12">
        <f t="shared" si="8"/>
        <v>45879.365013229166</v>
      </c>
      <c r="G295" s="10" t="str">
        <f t="shared" si="9"/>
        <v>08:45:00</v>
      </c>
      <c r="H295" t="str">
        <f>LEFT(SearchData[[#This Row],[userId]],8)</f>
        <v>fc8596ff</v>
      </c>
    </row>
    <row r="296" spans="1:8">
      <c r="A296" t="s">
        <v>540</v>
      </c>
      <c r="B296" t="s">
        <v>527</v>
      </c>
      <c r="C296" s="5">
        <v>45879.802208194444</v>
      </c>
      <c r="D296">
        <v>4027</v>
      </c>
      <c r="E296" s="3" t="s">
        <v>541</v>
      </c>
      <c r="F296" s="12">
        <f t="shared" si="8"/>
        <v>45879.468874861108</v>
      </c>
      <c r="G296" s="10" t="str">
        <f t="shared" si="9"/>
        <v>11:15:00</v>
      </c>
      <c r="H296" t="str">
        <f>LEFT(SearchData[[#This Row],[userId]],8)</f>
        <v>0e8ecca7</v>
      </c>
    </row>
    <row r="297" spans="1:8">
      <c r="A297" t="s">
        <v>542</v>
      </c>
      <c r="B297" t="s">
        <v>527</v>
      </c>
      <c r="C297" s="5">
        <v>45879.803562835645</v>
      </c>
      <c r="D297">
        <v>4027</v>
      </c>
      <c r="E297" s="3" t="s">
        <v>543</v>
      </c>
      <c r="F297" s="12">
        <f t="shared" si="8"/>
        <v>45879.470229502309</v>
      </c>
      <c r="G297" s="10" t="str">
        <f t="shared" si="9"/>
        <v>11:15:00</v>
      </c>
      <c r="H297" t="str">
        <f>LEFT(SearchData[[#This Row],[userId]],8)</f>
        <v>0e8ecca7</v>
      </c>
    </row>
    <row r="298" spans="1:8">
      <c r="A298" t="s">
        <v>544</v>
      </c>
      <c r="B298" t="s">
        <v>391</v>
      </c>
      <c r="C298" s="5">
        <v>45880.026294340278</v>
      </c>
      <c r="D298">
        <v>85965</v>
      </c>
      <c r="E298" s="3" t="s">
        <v>491</v>
      </c>
      <c r="F298" s="12">
        <f t="shared" si="8"/>
        <v>45879.692961006942</v>
      </c>
      <c r="G298" s="10" t="str">
        <f t="shared" si="9"/>
        <v>16:45:00</v>
      </c>
      <c r="H298" t="str">
        <f>LEFT(SearchData[[#This Row],[userId]],8)</f>
        <v>162b0343</v>
      </c>
    </row>
    <row r="299" spans="1:8">
      <c r="A299" t="s">
        <v>545</v>
      </c>
      <c r="B299" t="s">
        <v>391</v>
      </c>
      <c r="C299" s="5">
        <v>45880.410962326387</v>
      </c>
      <c r="D299">
        <v>85965</v>
      </c>
      <c r="E299" s="3" t="s">
        <v>491</v>
      </c>
      <c r="F299" s="12">
        <f t="shared" si="8"/>
        <v>45880.077628993051</v>
      </c>
      <c r="G299" s="10" t="str">
        <f t="shared" si="9"/>
        <v>01:45:00</v>
      </c>
      <c r="H299" t="str">
        <f>LEFT(SearchData[[#This Row],[userId]],8)</f>
        <v>162b0343</v>
      </c>
    </row>
    <row r="300" spans="1:8">
      <c r="A300" t="s">
        <v>546</v>
      </c>
      <c r="B300" t="s">
        <v>281</v>
      </c>
      <c r="C300" s="5">
        <v>45880.643881238429</v>
      </c>
      <c r="D300">
        <v>4027</v>
      </c>
      <c r="E300" s="3" t="s">
        <v>186</v>
      </c>
      <c r="F300" s="12">
        <f t="shared" si="8"/>
        <v>45880.310547905094</v>
      </c>
      <c r="G300" s="10" t="str">
        <f t="shared" si="9"/>
        <v>07:30:00</v>
      </c>
      <c r="H300" t="str">
        <f>LEFT(SearchData[[#This Row],[userId]],8)</f>
        <v>fc8596ff</v>
      </c>
    </row>
    <row r="301" spans="1:8">
      <c r="A301" t="s">
        <v>547</v>
      </c>
      <c r="B301" t="s">
        <v>443</v>
      </c>
      <c r="C301" s="5">
        <v>45880.654778599535</v>
      </c>
      <c r="D301">
        <v>4125</v>
      </c>
      <c r="E301" s="3" t="s">
        <v>14</v>
      </c>
      <c r="F301" s="12">
        <f t="shared" si="8"/>
        <v>45880.3214452662</v>
      </c>
      <c r="G301" s="10" t="str">
        <f t="shared" si="9"/>
        <v>07:45:00</v>
      </c>
      <c r="H301" t="str">
        <f>LEFT(SearchData[[#This Row],[userId]],8)</f>
        <v>65e0d73f</v>
      </c>
    </row>
    <row r="302" spans="1:8">
      <c r="A302" t="s">
        <v>548</v>
      </c>
      <c r="B302" t="s">
        <v>549</v>
      </c>
      <c r="C302" s="5">
        <v>45880.662687858799</v>
      </c>
      <c r="D302">
        <v>4027</v>
      </c>
      <c r="E302" s="3" t="s">
        <v>9</v>
      </c>
      <c r="F302" s="12">
        <f t="shared" si="8"/>
        <v>45880.329354525464</v>
      </c>
      <c r="G302" s="10" t="str">
        <f t="shared" si="9"/>
        <v>08:00:00</v>
      </c>
      <c r="H302" t="str">
        <f>LEFT(SearchData[[#This Row],[userId]],8)</f>
        <v>92811fe2</v>
      </c>
    </row>
    <row r="303" spans="1:8">
      <c r="A303" t="s">
        <v>550</v>
      </c>
      <c r="B303" t="s">
        <v>443</v>
      </c>
      <c r="C303" s="5">
        <v>45880.667735972223</v>
      </c>
      <c r="D303">
        <v>135</v>
      </c>
      <c r="E303" s="3" t="s">
        <v>14</v>
      </c>
      <c r="F303" s="12">
        <f t="shared" si="8"/>
        <v>45880.334402638888</v>
      </c>
      <c r="G303" s="10" t="str">
        <f t="shared" si="9"/>
        <v>08:00:00</v>
      </c>
      <c r="H303" t="str">
        <f>LEFT(SearchData[[#This Row],[userId]],8)</f>
        <v>65e0d73f</v>
      </c>
    </row>
    <row r="304" spans="1:8">
      <c r="A304" t="s">
        <v>551</v>
      </c>
      <c r="B304" t="s">
        <v>443</v>
      </c>
      <c r="C304" s="5">
        <v>45880.762955196762</v>
      </c>
      <c r="D304">
        <v>4027</v>
      </c>
      <c r="E304" s="3" t="s">
        <v>14</v>
      </c>
      <c r="F304" s="12">
        <f t="shared" si="8"/>
        <v>45880.429621863426</v>
      </c>
      <c r="G304" s="10" t="str">
        <f t="shared" si="9"/>
        <v>10:15:00</v>
      </c>
      <c r="H304" t="str">
        <f>LEFT(SearchData[[#This Row],[userId]],8)</f>
        <v>65e0d73f</v>
      </c>
    </row>
    <row r="305" spans="1:8">
      <c r="A305" t="s">
        <v>552</v>
      </c>
      <c r="B305" t="s">
        <v>281</v>
      </c>
      <c r="C305" s="5">
        <v>45880.782171226849</v>
      </c>
      <c r="D305">
        <v>4027</v>
      </c>
      <c r="E305" s="3" t="s">
        <v>553</v>
      </c>
      <c r="F305" s="12">
        <f t="shared" si="8"/>
        <v>45880.448837893513</v>
      </c>
      <c r="G305" s="10" t="str">
        <f t="shared" si="9"/>
        <v>10:45:00</v>
      </c>
      <c r="H305" t="str">
        <f>LEFT(SearchData[[#This Row],[userId]],8)</f>
        <v>fc8596ff</v>
      </c>
    </row>
    <row r="306" spans="1:8">
      <c r="A306" t="s">
        <v>554</v>
      </c>
      <c r="B306" t="s">
        <v>443</v>
      </c>
      <c r="C306" s="5">
        <v>45880.951723587961</v>
      </c>
      <c r="D306">
        <v>26</v>
      </c>
      <c r="E306" s="3" t="s">
        <v>14</v>
      </c>
      <c r="F306" s="12">
        <f t="shared" si="8"/>
        <v>45880.618390254625</v>
      </c>
      <c r="G306" s="10" t="str">
        <f t="shared" si="9"/>
        <v>14:45:00</v>
      </c>
      <c r="H306" t="str">
        <f>LEFT(SearchData[[#This Row],[userId]],8)</f>
        <v>65e0d73f</v>
      </c>
    </row>
    <row r="307" spans="1:8">
      <c r="A307" t="s">
        <v>555</v>
      </c>
      <c r="B307" t="s">
        <v>443</v>
      </c>
      <c r="C307" s="5">
        <v>45880.958337488424</v>
      </c>
      <c r="D307">
        <v>26</v>
      </c>
      <c r="E307" s="3" t="s">
        <v>14</v>
      </c>
      <c r="F307" s="12">
        <f t="shared" si="8"/>
        <v>45880.625004155088</v>
      </c>
      <c r="G307" s="10" t="str">
        <f t="shared" si="9"/>
        <v>15:00:00</v>
      </c>
      <c r="H307" t="str">
        <f>LEFT(SearchData[[#This Row],[userId]],8)</f>
        <v>65e0d73f</v>
      </c>
    </row>
    <row r="308" spans="1:8">
      <c r="A308" t="s">
        <v>556</v>
      </c>
      <c r="B308" t="s">
        <v>549</v>
      </c>
      <c r="C308" s="5">
        <v>45881.05500670139</v>
      </c>
      <c r="D308">
        <v>86032</v>
      </c>
      <c r="E308" s="3" t="s">
        <v>9</v>
      </c>
      <c r="F308" s="12">
        <f t="shared" si="8"/>
        <v>45880.721673368054</v>
      </c>
      <c r="G308" s="10" t="str">
        <f t="shared" si="9"/>
        <v>17:15:00</v>
      </c>
      <c r="H308" t="str">
        <f>LEFT(SearchData[[#This Row],[userId]],8)</f>
        <v>92811fe2</v>
      </c>
    </row>
    <row r="309" spans="1:8">
      <c r="A309" t="s">
        <v>557</v>
      </c>
      <c r="B309" t="s">
        <v>443</v>
      </c>
      <c r="C309" s="5">
        <v>45881.839626273148</v>
      </c>
      <c r="D309">
        <v>4029</v>
      </c>
      <c r="E309" s="3" t="s">
        <v>14</v>
      </c>
      <c r="F309" s="12">
        <f t="shared" si="8"/>
        <v>45881.506292939812</v>
      </c>
      <c r="G309" s="10" t="str">
        <f t="shared" si="9"/>
        <v>12:15:00</v>
      </c>
      <c r="H309" t="str">
        <f>LEFT(SearchData[[#This Row],[userId]],8)</f>
        <v>65e0d73f</v>
      </c>
    </row>
    <row r="310" spans="1:8">
      <c r="A310" t="s">
        <v>558</v>
      </c>
      <c r="B310" t="s">
        <v>443</v>
      </c>
      <c r="C310" s="5">
        <v>45881.876459444444</v>
      </c>
      <c r="D310">
        <v>4029</v>
      </c>
      <c r="E310" s="3" t="s">
        <v>14</v>
      </c>
      <c r="F310" s="12">
        <f t="shared" si="8"/>
        <v>45881.543126111108</v>
      </c>
      <c r="G310" s="10" t="str">
        <f t="shared" si="9"/>
        <v>13:00:00</v>
      </c>
      <c r="H310" t="str">
        <f>LEFT(SearchData[[#This Row],[userId]],8)</f>
        <v>65e0d73f</v>
      </c>
    </row>
    <row r="311" spans="1:8">
      <c r="A311" s="1" t="s">
        <v>559</v>
      </c>
      <c r="B311" t="s">
        <v>549</v>
      </c>
      <c r="C311" s="5">
        <v>45881.92856064815</v>
      </c>
      <c r="D311">
        <v>4127</v>
      </c>
      <c r="E311" s="3" t="s">
        <v>11</v>
      </c>
      <c r="F311" s="12">
        <f t="shared" si="8"/>
        <v>45881.595227314814</v>
      </c>
      <c r="G311" s="10" t="str">
        <f t="shared" si="9"/>
        <v>14:15:00</v>
      </c>
      <c r="H311" t="str">
        <f>LEFT(SearchData[[#This Row],[userId]],8)</f>
        <v>92811fe2</v>
      </c>
    </row>
    <row r="312" spans="1:8">
      <c r="A312" t="s">
        <v>560</v>
      </c>
      <c r="B312" t="s">
        <v>443</v>
      </c>
      <c r="C312" s="5">
        <v>45881.9371822338</v>
      </c>
      <c r="D312">
        <v>4029</v>
      </c>
      <c r="E312" s="3" t="s">
        <v>14</v>
      </c>
      <c r="F312" s="12">
        <f t="shared" si="8"/>
        <v>45881.603848900464</v>
      </c>
      <c r="G312" s="10" t="str">
        <f t="shared" si="9"/>
        <v>14:30:00</v>
      </c>
      <c r="H312" t="str">
        <f>LEFT(SearchData[[#This Row],[userId]],8)</f>
        <v>65e0d73f</v>
      </c>
    </row>
    <row r="313" spans="1:8">
      <c r="A313" t="s">
        <v>561</v>
      </c>
      <c r="B313" t="s">
        <v>443</v>
      </c>
      <c r="C313" s="5">
        <v>45881.975520162036</v>
      </c>
      <c r="D313">
        <v>4029</v>
      </c>
      <c r="E313" s="3" t="s">
        <v>14</v>
      </c>
      <c r="F313" s="12">
        <f t="shared" si="8"/>
        <v>45881.6421868287</v>
      </c>
      <c r="G313" s="10" t="str">
        <f t="shared" si="9"/>
        <v>15:30:00</v>
      </c>
      <c r="H313" t="str">
        <f>LEFT(SearchData[[#This Row],[userId]],8)</f>
        <v>65e0d73f</v>
      </c>
    </row>
    <row r="314" spans="1:8">
      <c r="A314" t="s">
        <v>562</v>
      </c>
      <c r="B314" t="s">
        <v>563</v>
      </c>
      <c r="C314" s="5">
        <v>45881.976465636573</v>
      </c>
      <c r="D314">
        <v>4029</v>
      </c>
      <c r="E314" s="3" t="s">
        <v>13</v>
      </c>
      <c r="F314" s="12">
        <f t="shared" si="8"/>
        <v>45881.643132303238</v>
      </c>
      <c r="G314" s="10" t="str">
        <f t="shared" si="9"/>
        <v>15:30:00</v>
      </c>
      <c r="H314" t="str">
        <f>LEFT(SearchData[[#This Row],[userId]],8)</f>
        <v>390c34fc</v>
      </c>
    </row>
    <row r="315" spans="1:8">
      <c r="A315" t="s">
        <v>564</v>
      </c>
      <c r="B315" t="s">
        <v>549</v>
      </c>
      <c r="C315" s="5">
        <v>45881.980940104164</v>
      </c>
      <c r="D315">
        <v>4127</v>
      </c>
      <c r="E315" s="3" t="s">
        <v>11</v>
      </c>
      <c r="F315" s="12">
        <f t="shared" si="8"/>
        <v>45881.647606770828</v>
      </c>
      <c r="G315" s="10" t="str">
        <f t="shared" si="9"/>
        <v>15:30:00</v>
      </c>
      <c r="H315" t="str">
        <f>LEFT(SearchData[[#This Row],[userId]],8)</f>
        <v>92811fe2</v>
      </c>
    </row>
    <row r="316" spans="1:8">
      <c r="A316" t="s">
        <v>565</v>
      </c>
      <c r="B316" t="s">
        <v>443</v>
      </c>
      <c r="C316" s="5">
        <v>45882.000056111108</v>
      </c>
      <c r="D316">
        <v>4029</v>
      </c>
      <c r="E316" s="3" t="s">
        <v>14</v>
      </c>
      <c r="F316" s="12">
        <f t="shared" si="8"/>
        <v>45881.666722777773</v>
      </c>
      <c r="G316" s="10" t="str">
        <f t="shared" si="9"/>
        <v>16:00:00</v>
      </c>
      <c r="H316" t="str">
        <f>LEFT(SearchData[[#This Row],[userId]],8)</f>
        <v>65e0d73f</v>
      </c>
    </row>
    <row r="317" spans="1:8">
      <c r="A317" t="s">
        <v>566</v>
      </c>
      <c r="B317" t="s">
        <v>567</v>
      </c>
      <c r="C317" s="5">
        <v>45882.698072511572</v>
      </c>
      <c r="D317">
        <v>0</v>
      </c>
      <c r="E317" s="3" t="s">
        <v>403</v>
      </c>
      <c r="F317" s="12">
        <f t="shared" si="8"/>
        <v>45882.364739178236</v>
      </c>
      <c r="G317" s="10" t="str">
        <f t="shared" si="9"/>
        <v>08:45:00</v>
      </c>
      <c r="H317" t="str">
        <f>LEFT(SearchData[[#This Row],[userId]],8)</f>
        <v>08384b86</v>
      </c>
    </row>
    <row r="318" spans="1:8">
      <c r="A318" s="1" t="s">
        <v>568</v>
      </c>
      <c r="B318" t="s">
        <v>137</v>
      </c>
      <c r="C318" s="5">
        <v>45882.703067442133</v>
      </c>
      <c r="D318">
        <v>187</v>
      </c>
      <c r="E318" s="3" t="s">
        <v>516</v>
      </c>
      <c r="F318" s="12">
        <f t="shared" si="8"/>
        <v>45882.369734108797</v>
      </c>
      <c r="G318" s="10" t="str">
        <f t="shared" si="9"/>
        <v>08:45:00</v>
      </c>
      <c r="H318" t="str">
        <f>LEFT(SearchData[[#This Row],[userId]],8)</f>
        <v>fb7d1ae3</v>
      </c>
    </row>
    <row r="319" spans="1:8">
      <c r="A319" t="s">
        <v>569</v>
      </c>
      <c r="B319" t="s">
        <v>281</v>
      </c>
      <c r="C319" s="5">
        <v>45882.704613148147</v>
      </c>
      <c r="D319">
        <v>4029</v>
      </c>
      <c r="E319" s="3" t="s">
        <v>570</v>
      </c>
      <c r="F319" s="12">
        <f t="shared" si="8"/>
        <v>45882.371279814812</v>
      </c>
      <c r="G319" s="10" t="str">
        <f t="shared" si="9"/>
        <v>09:00:00</v>
      </c>
      <c r="H319" t="str">
        <f>LEFT(SearchData[[#This Row],[userId]],8)</f>
        <v>fc8596ff</v>
      </c>
    </row>
    <row r="320" spans="1:8">
      <c r="A320" t="s">
        <v>571</v>
      </c>
      <c r="B320" t="s">
        <v>567</v>
      </c>
      <c r="C320" s="5">
        <v>45882.713723518522</v>
      </c>
      <c r="D320">
        <v>4029</v>
      </c>
      <c r="E320" s="3" t="s">
        <v>14</v>
      </c>
      <c r="F320" s="12">
        <f t="shared" si="8"/>
        <v>45882.380390185186</v>
      </c>
      <c r="G320" s="10" t="str">
        <f t="shared" si="9"/>
        <v>09:15:00</v>
      </c>
      <c r="H320" t="str">
        <f>LEFT(SearchData[[#This Row],[userId]],8)</f>
        <v>08384b86</v>
      </c>
    </row>
    <row r="321" spans="1:8">
      <c r="A321" t="s">
        <v>572</v>
      </c>
      <c r="B321" t="s">
        <v>137</v>
      </c>
      <c r="C321" s="5">
        <v>45882.724315231484</v>
      </c>
      <c r="D321">
        <v>155</v>
      </c>
      <c r="E321" s="3" t="s">
        <v>516</v>
      </c>
      <c r="F321" s="12">
        <f t="shared" si="8"/>
        <v>45882.390981898148</v>
      </c>
      <c r="G321" s="10" t="str">
        <f t="shared" si="9"/>
        <v>09:30:00</v>
      </c>
      <c r="H321" t="str">
        <f>LEFT(SearchData[[#This Row],[userId]],8)</f>
        <v>fb7d1ae3</v>
      </c>
    </row>
    <row r="322" spans="1:8">
      <c r="A322" t="s">
        <v>573</v>
      </c>
      <c r="B322" t="s">
        <v>137</v>
      </c>
      <c r="C322" s="5">
        <v>45882.750635393517</v>
      </c>
      <c r="D322">
        <v>4029</v>
      </c>
      <c r="E322" s="3" t="s">
        <v>516</v>
      </c>
      <c r="F322" s="12">
        <f t="shared" ref="F322:F385" si="10">C322-TIME(8,0,0)</f>
        <v>45882.417302060181</v>
      </c>
      <c r="G322" s="10" t="str">
        <f t="shared" ref="G322:G385" si="11">TEXT(MROUND(C322-TIME(8,0,0), "0:15"),"HH:MM:SS")</f>
        <v>10:00:00</v>
      </c>
      <c r="H322" t="str">
        <f>LEFT(SearchData[[#This Row],[userId]],8)</f>
        <v>fb7d1ae3</v>
      </c>
    </row>
    <row r="323" spans="1:8">
      <c r="A323" t="s">
        <v>574</v>
      </c>
      <c r="B323" t="s">
        <v>137</v>
      </c>
      <c r="C323" s="5">
        <v>45882.767043831016</v>
      </c>
      <c r="D323">
        <v>4029</v>
      </c>
      <c r="E323" s="3" t="s">
        <v>14</v>
      </c>
      <c r="F323" s="12">
        <f t="shared" si="10"/>
        <v>45882.43371049768</v>
      </c>
      <c r="G323" s="10" t="str">
        <f t="shared" si="11"/>
        <v>10:30:00</v>
      </c>
      <c r="H323" t="str">
        <f>LEFT(SearchData[[#This Row],[userId]],8)</f>
        <v>fb7d1ae3</v>
      </c>
    </row>
    <row r="324" spans="1:8">
      <c r="A324" t="s">
        <v>575</v>
      </c>
      <c r="B324" t="s">
        <v>137</v>
      </c>
      <c r="C324" s="5">
        <v>45882.805861724541</v>
      </c>
      <c r="D324">
        <v>4029</v>
      </c>
      <c r="E324" s="3" t="s">
        <v>576</v>
      </c>
      <c r="F324" s="12">
        <f t="shared" si="10"/>
        <v>45882.472528391205</v>
      </c>
      <c r="G324" s="10" t="str">
        <f t="shared" si="11"/>
        <v>11:15:00</v>
      </c>
      <c r="H324" t="str">
        <f>LEFT(SearchData[[#This Row],[userId]],8)</f>
        <v>fb7d1ae3</v>
      </c>
    </row>
    <row r="325" spans="1:8">
      <c r="A325" t="s">
        <v>577</v>
      </c>
      <c r="B325" t="s">
        <v>233</v>
      </c>
      <c r="C325" s="5">
        <v>45882.8484469213</v>
      </c>
      <c r="D325">
        <v>4029</v>
      </c>
      <c r="E325" s="3">
        <v>2505390</v>
      </c>
      <c r="F325" s="12">
        <f t="shared" si="10"/>
        <v>45882.515113587964</v>
      </c>
      <c r="G325" s="10" t="str">
        <f t="shared" si="11"/>
        <v>12:15:00</v>
      </c>
      <c r="H325" t="str">
        <f>LEFT(SearchData[[#This Row],[userId]],8)</f>
        <v>01b52c2e</v>
      </c>
    </row>
    <row r="326" spans="1:8">
      <c r="A326" t="s">
        <v>578</v>
      </c>
      <c r="B326" t="s">
        <v>137</v>
      </c>
      <c r="C326" s="5">
        <v>45882.906313738429</v>
      </c>
      <c r="D326">
        <v>4029</v>
      </c>
      <c r="E326" s="3" t="s">
        <v>516</v>
      </c>
      <c r="F326" s="12">
        <f t="shared" si="10"/>
        <v>45882.572980405093</v>
      </c>
      <c r="G326" s="10" t="str">
        <f t="shared" si="11"/>
        <v>13:45:00</v>
      </c>
      <c r="H326" t="str">
        <f>LEFT(SearchData[[#This Row],[userId]],8)</f>
        <v>fb7d1ae3</v>
      </c>
    </row>
    <row r="327" spans="1:8">
      <c r="A327" t="s">
        <v>579</v>
      </c>
      <c r="B327" t="s">
        <v>137</v>
      </c>
      <c r="C327" s="5">
        <v>45882.916687511577</v>
      </c>
      <c r="D327">
        <v>4029</v>
      </c>
      <c r="E327" s="3" t="s">
        <v>516</v>
      </c>
      <c r="F327" s="12">
        <f t="shared" si="10"/>
        <v>45882.583354178241</v>
      </c>
      <c r="G327" s="10" t="str">
        <f t="shared" si="11"/>
        <v>14:00:00</v>
      </c>
      <c r="H327" t="str">
        <f>LEFT(SearchData[[#This Row],[userId]],8)</f>
        <v>fb7d1ae3</v>
      </c>
    </row>
    <row r="328" spans="1:8">
      <c r="A328" t="s">
        <v>580</v>
      </c>
      <c r="B328" t="s">
        <v>443</v>
      </c>
      <c r="C328" s="5">
        <v>45883.697715509261</v>
      </c>
      <c r="D328">
        <v>4029</v>
      </c>
      <c r="E328" s="3" t="s">
        <v>14</v>
      </c>
      <c r="F328" s="12">
        <f t="shared" si="10"/>
        <v>45883.364382175925</v>
      </c>
      <c r="G328" s="10" t="str">
        <f t="shared" si="11"/>
        <v>08:45:00</v>
      </c>
      <c r="H328" t="str">
        <f>LEFT(SearchData[[#This Row],[userId]],8)</f>
        <v>65e0d73f</v>
      </c>
    </row>
    <row r="329" spans="1:8">
      <c r="A329" t="s">
        <v>581</v>
      </c>
      <c r="B329" t="s">
        <v>137</v>
      </c>
      <c r="C329" s="5">
        <v>45883.835343009261</v>
      </c>
      <c r="D329">
        <v>86768</v>
      </c>
      <c r="E329" s="3" t="s">
        <v>582</v>
      </c>
      <c r="F329" s="12">
        <f t="shared" si="10"/>
        <v>45883.502009675925</v>
      </c>
      <c r="G329" s="10" t="str">
        <f t="shared" si="11"/>
        <v>12:00:00</v>
      </c>
      <c r="H329" t="str">
        <f>LEFT(SearchData[[#This Row],[userId]],8)</f>
        <v>fb7d1ae3</v>
      </c>
    </row>
    <row r="330" spans="1:8">
      <c r="A330" t="s">
        <v>583</v>
      </c>
      <c r="B330" t="s">
        <v>443</v>
      </c>
      <c r="C330" s="5">
        <v>45883.958928715278</v>
      </c>
      <c r="D330">
        <v>150</v>
      </c>
      <c r="E330" s="3" t="s">
        <v>14</v>
      </c>
      <c r="F330" s="12">
        <f t="shared" si="10"/>
        <v>45883.625595381942</v>
      </c>
      <c r="G330" s="10" t="str">
        <f t="shared" si="11"/>
        <v>15:00:00</v>
      </c>
      <c r="H330" t="str">
        <f>LEFT(SearchData[[#This Row],[userId]],8)</f>
        <v>65e0d73f</v>
      </c>
    </row>
    <row r="331" spans="1:8">
      <c r="A331" t="s">
        <v>584</v>
      </c>
      <c r="B331" t="s">
        <v>137</v>
      </c>
      <c r="C331" s="5">
        <v>45883.972886099538</v>
      </c>
      <c r="D331">
        <v>86799</v>
      </c>
      <c r="E331" s="3" t="s">
        <v>14</v>
      </c>
      <c r="F331" s="12">
        <f t="shared" si="10"/>
        <v>45883.639552766203</v>
      </c>
      <c r="G331" s="10" t="str">
        <f t="shared" si="11"/>
        <v>15:15:00</v>
      </c>
      <c r="H331" t="str">
        <f>LEFT(SearchData[[#This Row],[userId]],8)</f>
        <v>fb7d1ae3</v>
      </c>
    </row>
    <row r="332" spans="1:8">
      <c r="A332" t="s">
        <v>585</v>
      </c>
      <c r="B332" t="s">
        <v>443</v>
      </c>
      <c r="C332" s="5">
        <v>45884.010113055556</v>
      </c>
      <c r="D332">
        <v>4029</v>
      </c>
      <c r="E332" s="3" t="s">
        <v>14</v>
      </c>
      <c r="F332" s="12">
        <f t="shared" si="10"/>
        <v>45883.67677972222</v>
      </c>
      <c r="G332" s="10" t="str">
        <f t="shared" si="11"/>
        <v>16:15:00</v>
      </c>
      <c r="H332" t="str">
        <f>LEFT(SearchData[[#This Row],[userId]],8)</f>
        <v>65e0d73f</v>
      </c>
    </row>
    <row r="333" spans="1:8">
      <c r="A333" t="s">
        <v>586</v>
      </c>
      <c r="B333" t="s">
        <v>587</v>
      </c>
      <c r="C333" s="5">
        <v>45884.057337326391</v>
      </c>
      <c r="D333">
        <v>4029</v>
      </c>
      <c r="E333" s="3" t="s">
        <v>14</v>
      </c>
      <c r="F333" s="12">
        <f t="shared" si="10"/>
        <v>45883.724003993055</v>
      </c>
      <c r="G333" s="10" t="str">
        <f t="shared" si="11"/>
        <v>17:30:00</v>
      </c>
      <c r="H333" t="str">
        <f>LEFT(SearchData[[#This Row],[userId]],8)</f>
        <v>4f0ea4ac</v>
      </c>
    </row>
    <row r="334" spans="1:8">
      <c r="A334" t="s">
        <v>588</v>
      </c>
      <c r="B334" t="s">
        <v>487</v>
      </c>
      <c r="C334" s="5">
        <v>45884.058232881944</v>
      </c>
      <c r="D334">
        <v>4029</v>
      </c>
      <c r="E334" s="3" t="s">
        <v>493</v>
      </c>
      <c r="F334" s="12">
        <f t="shared" si="10"/>
        <v>45883.724899548608</v>
      </c>
      <c r="G334" s="10" t="str">
        <f t="shared" si="11"/>
        <v>17:30:00</v>
      </c>
      <c r="H334" t="str">
        <f>LEFT(SearchData[[#This Row],[userId]],8)</f>
        <v>f676770a</v>
      </c>
    </row>
    <row r="335" spans="1:8">
      <c r="A335" t="s">
        <v>589</v>
      </c>
      <c r="B335" t="s">
        <v>137</v>
      </c>
      <c r="C335" s="5">
        <v>45884.069824479164</v>
      </c>
      <c r="D335">
        <v>4029</v>
      </c>
      <c r="E335" s="3" t="s">
        <v>403</v>
      </c>
      <c r="F335" s="12">
        <f t="shared" si="10"/>
        <v>45883.736491145828</v>
      </c>
      <c r="G335" s="10" t="str">
        <f t="shared" si="11"/>
        <v>17:45:00</v>
      </c>
      <c r="H335" t="str">
        <f>LEFT(SearchData[[#This Row],[userId]],8)</f>
        <v>fb7d1ae3</v>
      </c>
    </row>
    <row r="336" spans="1:8">
      <c r="A336" t="s">
        <v>590</v>
      </c>
      <c r="B336" t="s">
        <v>137</v>
      </c>
      <c r="C336" s="5">
        <v>45884.601399270832</v>
      </c>
      <c r="D336">
        <v>86832</v>
      </c>
      <c r="E336" s="3" t="s">
        <v>14</v>
      </c>
      <c r="F336" s="12">
        <f t="shared" si="10"/>
        <v>45884.268065937496</v>
      </c>
      <c r="G336" s="10" t="str">
        <f t="shared" si="11"/>
        <v>06:30:00</v>
      </c>
      <c r="H336" t="str">
        <f>LEFT(SearchData[[#This Row],[userId]],8)</f>
        <v>fb7d1ae3</v>
      </c>
    </row>
    <row r="337" spans="1:8">
      <c r="A337" t="s">
        <v>591</v>
      </c>
      <c r="B337" t="s">
        <v>567</v>
      </c>
      <c r="C337" s="5">
        <v>45884.64658104167</v>
      </c>
      <c r="D337">
        <v>4029</v>
      </c>
      <c r="E337" s="3" t="s">
        <v>14</v>
      </c>
      <c r="F337" s="12">
        <f t="shared" si="10"/>
        <v>45884.313247708335</v>
      </c>
      <c r="G337" s="10" t="str">
        <f t="shared" si="11"/>
        <v>07:30:00</v>
      </c>
      <c r="H337" t="str">
        <f>LEFT(SearchData[[#This Row],[userId]],8)</f>
        <v>08384b86</v>
      </c>
    </row>
    <row r="338" spans="1:8">
      <c r="A338" t="s">
        <v>592</v>
      </c>
      <c r="B338" t="s">
        <v>203</v>
      </c>
      <c r="C338" s="5">
        <v>45884.842028564817</v>
      </c>
      <c r="D338">
        <v>4029</v>
      </c>
      <c r="E338" s="3" t="s">
        <v>186</v>
      </c>
      <c r="F338" s="12">
        <f t="shared" si="10"/>
        <v>45884.508695231481</v>
      </c>
      <c r="G338" s="10" t="str">
        <f t="shared" si="11"/>
        <v>12:15:00</v>
      </c>
      <c r="H338" t="str">
        <f>LEFT(SearchData[[#This Row],[userId]],8)</f>
        <v>5099fed4</v>
      </c>
    </row>
    <row r="339" spans="1:8">
      <c r="A339" t="s">
        <v>593</v>
      </c>
      <c r="B339" t="s">
        <v>137</v>
      </c>
      <c r="C339" s="5">
        <v>45884.903070868058</v>
      </c>
      <c r="D339">
        <v>4029</v>
      </c>
      <c r="E339" s="3" t="s">
        <v>403</v>
      </c>
      <c r="F339" s="12">
        <f t="shared" si="10"/>
        <v>45884.569737534723</v>
      </c>
      <c r="G339" s="10" t="str">
        <f t="shared" si="11"/>
        <v>13:45:00</v>
      </c>
      <c r="H339" t="str">
        <f>LEFT(SearchData[[#This Row],[userId]],8)</f>
        <v>fb7d1ae3</v>
      </c>
    </row>
    <row r="340" spans="1:8">
      <c r="A340" t="s">
        <v>594</v>
      </c>
      <c r="B340" t="s">
        <v>420</v>
      </c>
      <c r="C340" s="5">
        <v>45885.231338750003</v>
      </c>
      <c r="D340">
        <v>4029</v>
      </c>
      <c r="E340" s="3" t="s">
        <v>186</v>
      </c>
      <c r="F340" s="12">
        <f t="shared" si="10"/>
        <v>45884.898005416668</v>
      </c>
      <c r="G340" s="10" t="str">
        <f t="shared" si="11"/>
        <v>21:30:00</v>
      </c>
      <c r="H340" t="str">
        <f>LEFT(SearchData[[#This Row],[userId]],8)</f>
        <v>6d2d86c1</v>
      </c>
    </row>
    <row r="341" spans="1:8">
      <c r="A341" t="s">
        <v>595</v>
      </c>
      <c r="B341" t="s">
        <v>420</v>
      </c>
      <c r="C341" s="5">
        <v>45885.258799826392</v>
      </c>
      <c r="D341">
        <v>4029</v>
      </c>
      <c r="E341" s="3" t="s">
        <v>186</v>
      </c>
      <c r="F341" s="12">
        <f t="shared" si="10"/>
        <v>45884.925466493056</v>
      </c>
      <c r="G341" s="10" t="str">
        <f t="shared" si="11"/>
        <v>22:15:00</v>
      </c>
      <c r="H341" t="str">
        <f>LEFT(SearchData[[#This Row],[userId]],8)</f>
        <v>6d2d86c1</v>
      </c>
    </row>
    <row r="342" spans="1:8">
      <c r="A342" t="s">
        <v>596</v>
      </c>
      <c r="B342" t="s">
        <v>487</v>
      </c>
      <c r="C342" s="5">
        <v>45885.34547158565</v>
      </c>
      <c r="D342">
        <v>4029</v>
      </c>
      <c r="E342" s="3" t="s">
        <v>302</v>
      </c>
      <c r="F342" s="12">
        <f t="shared" si="10"/>
        <v>45885.012138252314</v>
      </c>
      <c r="G342" s="10" t="str">
        <f t="shared" si="11"/>
        <v>00:15:00</v>
      </c>
      <c r="H342" t="str">
        <f>LEFT(SearchData[[#This Row],[userId]],8)</f>
        <v>f676770a</v>
      </c>
    </row>
    <row r="343" spans="1:8">
      <c r="A343" t="s">
        <v>597</v>
      </c>
      <c r="B343" t="s">
        <v>281</v>
      </c>
      <c r="C343" s="5">
        <v>45885.60152916667</v>
      </c>
      <c r="D343">
        <v>4029</v>
      </c>
      <c r="E343" s="3">
        <v>2505236</v>
      </c>
      <c r="F343" s="12">
        <f t="shared" si="10"/>
        <v>45885.268195833334</v>
      </c>
      <c r="G343" s="10" t="str">
        <f t="shared" si="11"/>
        <v>06:30:00</v>
      </c>
      <c r="H343" t="str">
        <f>LEFT(SearchData[[#This Row],[userId]],8)</f>
        <v>fc8596ff</v>
      </c>
    </row>
    <row r="344" spans="1:8">
      <c r="A344" t="s">
        <v>598</v>
      </c>
      <c r="B344" t="s">
        <v>281</v>
      </c>
      <c r="C344" s="5">
        <v>45885.641856365743</v>
      </c>
      <c r="D344">
        <v>4029</v>
      </c>
      <c r="E344" s="3" t="s">
        <v>186</v>
      </c>
      <c r="F344" s="12">
        <f t="shared" si="10"/>
        <v>45885.308523032407</v>
      </c>
      <c r="G344" s="10" t="str">
        <f t="shared" si="11"/>
        <v>07:30:00</v>
      </c>
      <c r="H344" t="str">
        <f>LEFT(SearchData[[#This Row],[userId]],8)</f>
        <v>fc8596ff</v>
      </c>
    </row>
    <row r="345" spans="1:8">
      <c r="A345" t="s">
        <v>599</v>
      </c>
      <c r="B345" t="s">
        <v>281</v>
      </c>
      <c r="C345" s="5">
        <v>45885.654799189811</v>
      </c>
      <c r="D345">
        <v>4030</v>
      </c>
      <c r="E345" s="3">
        <v>25208447</v>
      </c>
      <c r="F345" s="12">
        <f t="shared" si="10"/>
        <v>45885.321465856476</v>
      </c>
      <c r="G345" s="10" t="str">
        <f t="shared" si="11"/>
        <v>07:45:00</v>
      </c>
      <c r="H345" t="str">
        <f>LEFT(SearchData[[#This Row],[userId]],8)</f>
        <v>fc8596ff</v>
      </c>
    </row>
    <row r="346" spans="1:8">
      <c r="A346" t="s">
        <v>600</v>
      </c>
      <c r="B346" t="s">
        <v>487</v>
      </c>
      <c r="C346" s="5">
        <v>45886.123158229166</v>
      </c>
      <c r="D346">
        <v>86903</v>
      </c>
      <c r="E346" s="3" t="s">
        <v>302</v>
      </c>
      <c r="F346" s="12">
        <f t="shared" si="10"/>
        <v>45885.78982489583</v>
      </c>
      <c r="G346" s="10" t="str">
        <f t="shared" si="11"/>
        <v>19:00:00</v>
      </c>
      <c r="H346" t="str">
        <f>LEFT(SearchData[[#This Row],[userId]],8)</f>
        <v>f676770a</v>
      </c>
    </row>
    <row r="347" spans="1:8">
      <c r="A347" t="s">
        <v>601</v>
      </c>
      <c r="B347" t="s">
        <v>487</v>
      </c>
      <c r="C347" s="5">
        <v>45886.235787013888</v>
      </c>
      <c r="D347">
        <v>86903</v>
      </c>
      <c r="E347" s="3" t="s">
        <v>302</v>
      </c>
      <c r="F347" s="12">
        <f t="shared" si="10"/>
        <v>45885.902453680552</v>
      </c>
      <c r="G347" s="10" t="str">
        <f t="shared" si="11"/>
        <v>21:45:00</v>
      </c>
      <c r="H347" t="str">
        <f>LEFT(SearchData[[#This Row],[userId]],8)</f>
        <v>f676770a</v>
      </c>
    </row>
    <row r="348" spans="1:8">
      <c r="A348" t="s">
        <v>602</v>
      </c>
      <c r="B348" t="s">
        <v>487</v>
      </c>
      <c r="C348" s="5">
        <v>45886.357201180559</v>
      </c>
      <c r="D348">
        <v>86903</v>
      </c>
      <c r="E348" s="3" t="s">
        <v>302</v>
      </c>
      <c r="F348" s="12">
        <f t="shared" si="10"/>
        <v>45886.023867847223</v>
      </c>
      <c r="G348" s="10" t="str">
        <f t="shared" si="11"/>
        <v>00:30:00</v>
      </c>
      <c r="H348" t="str">
        <f>LEFT(SearchData[[#This Row],[userId]],8)</f>
        <v>f676770a</v>
      </c>
    </row>
    <row r="349" spans="1:8">
      <c r="A349" t="s">
        <v>603</v>
      </c>
      <c r="B349" t="s">
        <v>478</v>
      </c>
      <c r="C349" s="5">
        <v>45886.467415092593</v>
      </c>
      <c r="D349">
        <v>4040</v>
      </c>
      <c r="E349" s="3" t="s">
        <v>229</v>
      </c>
      <c r="F349" s="12">
        <f t="shared" si="10"/>
        <v>45886.134081759257</v>
      </c>
      <c r="G349" s="10" t="str">
        <f t="shared" si="11"/>
        <v>03:15:00</v>
      </c>
      <c r="H349" t="str">
        <f>LEFT(SearchData[[#This Row],[userId]],8)</f>
        <v>dd5359fa</v>
      </c>
    </row>
    <row r="350" spans="1:8">
      <c r="A350" t="s">
        <v>604</v>
      </c>
      <c r="B350" t="s">
        <v>605</v>
      </c>
      <c r="C350" s="5">
        <v>45886.467507650465</v>
      </c>
      <c r="D350">
        <v>4040</v>
      </c>
      <c r="E350" s="3" t="s">
        <v>229</v>
      </c>
      <c r="F350" s="12">
        <f t="shared" si="10"/>
        <v>45886.134174317129</v>
      </c>
      <c r="G350" s="10" t="str">
        <f t="shared" si="11"/>
        <v>03:15:00</v>
      </c>
      <c r="H350" t="str">
        <f>LEFT(SearchData[[#This Row],[userId]],8)</f>
        <v>efdce85f</v>
      </c>
    </row>
    <row r="351" spans="1:8">
      <c r="A351" t="s">
        <v>606</v>
      </c>
      <c r="B351" t="s">
        <v>487</v>
      </c>
      <c r="C351" s="5">
        <v>45886.468693576389</v>
      </c>
      <c r="D351">
        <v>86903</v>
      </c>
      <c r="E351" s="3" t="s">
        <v>302</v>
      </c>
      <c r="F351" s="12">
        <f t="shared" si="10"/>
        <v>45886.135360243054</v>
      </c>
      <c r="G351" s="10" t="str">
        <f t="shared" si="11"/>
        <v>03:15:00</v>
      </c>
      <c r="H351" t="str">
        <f>LEFT(SearchData[[#This Row],[userId]],8)</f>
        <v>f676770a</v>
      </c>
    </row>
    <row r="352" spans="1:8">
      <c r="A352" t="s">
        <v>607</v>
      </c>
      <c r="B352" t="s">
        <v>478</v>
      </c>
      <c r="C352" s="5">
        <v>45886.589666736108</v>
      </c>
      <c r="D352">
        <v>4040</v>
      </c>
      <c r="E352" s="3" t="s">
        <v>229</v>
      </c>
      <c r="F352" s="12">
        <f t="shared" si="10"/>
        <v>45886.256333402773</v>
      </c>
      <c r="G352" s="10" t="str">
        <f t="shared" si="11"/>
        <v>06:15:00</v>
      </c>
      <c r="H352" t="str">
        <f>LEFT(SearchData[[#This Row],[userId]],8)</f>
        <v>dd5359fa</v>
      </c>
    </row>
    <row r="353" spans="1:8">
      <c r="A353" t="s">
        <v>608</v>
      </c>
      <c r="B353" t="s">
        <v>478</v>
      </c>
      <c r="C353" s="5">
        <v>45886.590115995372</v>
      </c>
      <c r="D353">
        <v>4040</v>
      </c>
      <c r="E353" s="3" t="s">
        <v>609</v>
      </c>
      <c r="F353" s="12">
        <f t="shared" si="10"/>
        <v>45886.256782662036</v>
      </c>
      <c r="G353" s="10" t="str">
        <f t="shared" si="11"/>
        <v>06:15:00</v>
      </c>
      <c r="H353" t="str">
        <f>LEFT(SearchData[[#This Row],[userId]],8)</f>
        <v>dd5359fa</v>
      </c>
    </row>
    <row r="354" spans="1:8">
      <c r="A354" t="s">
        <v>610</v>
      </c>
      <c r="B354" t="s">
        <v>611</v>
      </c>
      <c r="C354" s="5">
        <v>45886.677463020831</v>
      </c>
      <c r="D354">
        <v>4040</v>
      </c>
      <c r="E354" s="3" t="s">
        <v>10</v>
      </c>
      <c r="F354" s="12">
        <f t="shared" si="10"/>
        <v>45886.344129687495</v>
      </c>
      <c r="G354" s="10" t="str">
        <f t="shared" si="11"/>
        <v>08:15:00</v>
      </c>
      <c r="H354" t="str">
        <f>LEFT(SearchData[[#This Row],[userId]],8)</f>
        <v>cf20f9c8</v>
      </c>
    </row>
    <row r="355" spans="1:8">
      <c r="A355" t="s">
        <v>612</v>
      </c>
      <c r="B355" t="s">
        <v>611</v>
      </c>
      <c r="C355" s="5">
        <v>45886.713164502318</v>
      </c>
      <c r="D355">
        <v>4040</v>
      </c>
      <c r="E355" s="3" t="s">
        <v>10</v>
      </c>
      <c r="F355" s="12">
        <f t="shared" si="10"/>
        <v>45886.379831168982</v>
      </c>
      <c r="G355" s="10" t="str">
        <f t="shared" si="11"/>
        <v>09:00:00</v>
      </c>
      <c r="H355" t="str">
        <f>LEFT(SearchData[[#This Row],[userId]],8)</f>
        <v>cf20f9c8</v>
      </c>
    </row>
    <row r="356" spans="1:8">
      <c r="A356" t="s">
        <v>613</v>
      </c>
      <c r="B356" s="1" t="s">
        <v>614</v>
      </c>
      <c r="C356" s="5">
        <v>45887.417649050927</v>
      </c>
      <c r="D356">
        <v>86907</v>
      </c>
      <c r="E356" s="3" t="s">
        <v>245</v>
      </c>
      <c r="F356" s="12">
        <f t="shared" si="10"/>
        <v>45887.084315717591</v>
      </c>
      <c r="G356" s="10" t="str">
        <f t="shared" si="11"/>
        <v>02:00:00</v>
      </c>
      <c r="H356" t="str">
        <f>LEFT(SearchData[[#This Row],[userId]],8)</f>
        <v>154e5978</v>
      </c>
    </row>
    <row r="357" spans="1:8">
      <c r="A357" t="s">
        <v>615</v>
      </c>
      <c r="B357" s="1" t="s">
        <v>614</v>
      </c>
      <c r="C357" s="5">
        <v>45887.425471168979</v>
      </c>
      <c r="D357">
        <v>86907</v>
      </c>
      <c r="E357" s="3" t="s">
        <v>195</v>
      </c>
      <c r="F357" s="12">
        <f t="shared" si="10"/>
        <v>45887.092137835643</v>
      </c>
      <c r="G357" s="10" t="str">
        <f t="shared" si="11"/>
        <v>02:15:00</v>
      </c>
      <c r="H357" t="str">
        <f>LEFT(SearchData[[#This Row],[userId]],8)</f>
        <v>154e5978</v>
      </c>
    </row>
    <row r="358" spans="1:8">
      <c r="A358" t="s">
        <v>616</v>
      </c>
      <c r="B358" s="1" t="s">
        <v>614</v>
      </c>
      <c r="C358" s="5">
        <v>45887.426742916665</v>
      </c>
      <c r="D358">
        <v>86907</v>
      </c>
      <c r="E358" s="3" t="s">
        <v>229</v>
      </c>
      <c r="F358" s="12">
        <f t="shared" si="10"/>
        <v>45887.093409583329</v>
      </c>
      <c r="G358" s="10" t="str">
        <f t="shared" si="11"/>
        <v>02:15:00</v>
      </c>
      <c r="H358" t="str">
        <f>LEFT(SearchData[[#This Row],[userId]],8)</f>
        <v>154e5978</v>
      </c>
    </row>
    <row r="359" spans="1:8">
      <c r="A359" t="s">
        <v>617</v>
      </c>
      <c r="B359" t="s">
        <v>443</v>
      </c>
      <c r="C359" s="5">
        <v>45887.668284004627</v>
      </c>
      <c r="D359">
        <v>4044</v>
      </c>
      <c r="E359" s="3" t="s">
        <v>14</v>
      </c>
      <c r="F359" s="12">
        <f t="shared" si="10"/>
        <v>45887.334950671291</v>
      </c>
      <c r="G359" s="10" t="str">
        <f t="shared" si="11"/>
        <v>08:00:00</v>
      </c>
      <c r="H359" t="str">
        <f>LEFT(SearchData[[#This Row],[userId]],8)</f>
        <v>65e0d73f</v>
      </c>
    </row>
    <row r="360" spans="1:8">
      <c r="A360" t="s">
        <v>618</v>
      </c>
      <c r="B360" t="s">
        <v>281</v>
      </c>
      <c r="C360" s="5">
        <v>45887.682334513891</v>
      </c>
      <c r="D360">
        <v>4044</v>
      </c>
      <c r="E360" s="3" t="s">
        <v>451</v>
      </c>
      <c r="F360" s="12">
        <f t="shared" si="10"/>
        <v>45887.349001180555</v>
      </c>
      <c r="G360" s="10" t="str">
        <f t="shared" si="11"/>
        <v>08:30:00</v>
      </c>
      <c r="H360" t="str">
        <f>LEFT(SearchData[[#This Row],[userId]],8)</f>
        <v>fc8596ff</v>
      </c>
    </row>
    <row r="361" spans="1:8">
      <c r="A361" t="s">
        <v>619</v>
      </c>
      <c r="B361" t="s">
        <v>137</v>
      </c>
      <c r="C361" s="5">
        <v>45887.71252833333</v>
      </c>
      <c r="D361">
        <v>4044</v>
      </c>
      <c r="E361" s="3" t="s">
        <v>403</v>
      </c>
      <c r="F361" s="12">
        <f t="shared" si="10"/>
        <v>45887.379194999994</v>
      </c>
      <c r="G361" s="10" t="str">
        <f t="shared" si="11"/>
        <v>09:00:00</v>
      </c>
      <c r="H361" t="str">
        <f>LEFT(SearchData[[#This Row],[userId]],8)</f>
        <v>fb7d1ae3</v>
      </c>
    </row>
    <row r="362" spans="1:8">
      <c r="A362" t="s">
        <v>620</v>
      </c>
      <c r="B362" t="s">
        <v>443</v>
      </c>
      <c r="C362" s="5">
        <v>45887.72773121528</v>
      </c>
      <c r="D362">
        <v>4044</v>
      </c>
      <c r="E362" s="3" t="s">
        <v>14</v>
      </c>
      <c r="F362" s="12">
        <f t="shared" si="10"/>
        <v>45887.394397881944</v>
      </c>
      <c r="G362" s="10" t="str">
        <f t="shared" si="11"/>
        <v>09:30:00</v>
      </c>
      <c r="H362" t="str">
        <f>LEFT(SearchData[[#This Row],[userId]],8)</f>
        <v>65e0d73f</v>
      </c>
    </row>
    <row r="363" spans="1:8">
      <c r="A363" t="s">
        <v>621</v>
      </c>
      <c r="B363" t="s">
        <v>527</v>
      </c>
      <c r="C363" s="5">
        <v>45887.771337060185</v>
      </c>
      <c r="D363">
        <v>4044</v>
      </c>
      <c r="E363" s="3" t="s">
        <v>622</v>
      </c>
      <c r="F363" s="12">
        <f t="shared" si="10"/>
        <v>45887.438003726849</v>
      </c>
      <c r="G363" s="10" t="str">
        <f t="shared" si="11"/>
        <v>10:30:00</v>
      </c>
      <c r="H363" t="str">
        <f>LEFT(SearchData[[#This Row],[userId]],8)</f>
        <v>0e8ecca7</v>
      </c>
    </row>
    <row r="364" spans="1:8">
      <c r="A364" t="s">
        <v>623</v>
      </c>
      <c r="B364" t="s">
        <v>281</v>
      </c>
      <c r="C364" s="5">
        <v>45887.77476414352</v>
      </c>
      <c r="D364">
        <v>4044</v>
      </c>
      <c r="E364" s="3">
        <v>25203826</v>
      </c>
      <c r="F364" s="12">
        <f t="shared" si="10"/>
        <v>45887.441430810184</v>
      </c>
      <c r="G364" s="10" t="str">
        <f t="shared" si="11"/>
        <v>10:30:00</v>
      </c>
      <c r="H364" t="str">
        <f>LEFT(SearchData[[#This Row],[userId]],8)</f>
        <v>fc8596ff</v>
      </c>
    </row>
    <row r="365" spans="1:8">
      <c r="A365" t="s">
        <v>624</v>
      </c>
      <c r="B365" t="s">
        <v>478</v>
      </c>
      <c r="C365" s="5">
        <v>45887.779430115741</v>
      </c>
      <c r="D365">
        <v>4142</v>
      </c>
      <c r="E365" s="3" t="s">
        <v>10</v>
      </c>
      <c r="F365" s="12">
        <f t="shared" si="10"/>
        <v>45887.446096782405</v>
      </c>
      <c r="G365" s="10" t="str">
        <f t="shared" si="11"/>
        <v>10:45:00</v>
      </c>
      <c r="H365" t="str">
        <f>LEFT(SearchData[[#This Row],[userId]],8)</f>
        <v>dd5359fa</v>
      </c>
    </row>
    <row r="366" spans="1:8">
      <c r="A366" t="s">
        <v>625</v>
      </c>
      <c r="B366" t="s">
        <v>137</v>
      </c>
      <c r="C366" s="5">
        <v>45887.79638320602</v>
      </c>
      <c r="D366">
        <v>4044</v>
      </c>
      <c r="E366" s="3" t="s">
        <v>626</v>
      </c>
      <c r="F366" s="12">
        <f t="shared" si="10"/>
        <v>45887.463049872684</v>
      </c>
      <c r="G366" s="10" t="str">
        <f t="shared" si="11"/>
        <v>11:00:00</v>
      </c>
      <c r="H366" t="str">
        <f>LEFT(SearchData[[#This Row],[userId]],8)</f>
        <v>fb7d1ae3</v>
      </c>
    </row>
    <row r="367" spans="1:8">
      <c r="A367" t="s">
        <v>627</v>
      </c>
      <c r="B367" t="s">
        <v>478</v>
      </c>
      <c r="C367" s="5">
        <v>45887.811147511573</v>
      </c>
      <c r="D367">
        <v>4044</v>
      </c>
      <c r="E367" s="3" t="s">
        <v>10</v>
      </c>
      <c r="F367" s="12">
        <f t="shared" si="10"/>
        <v>45887.477814178237</v>
      </c>
      <c r="G367" s="10" t="str">
        <f t="shared" si="11"/>
        <v>11:30:00</v>
      </c>
      <c r="H367" t="str">
        <f>LEFT(SearchData[[#This Row],[userId]],8)</f>
        <v>dd5359fa</v>
      </c>
    </row>
    <row r="368" spans="1:8">
      <c r="A368" t="s">
        <v>628</v>
      </c>
      <c r="B368" t="s">
        <v>281</v>
      </c>
      <c r="C368" s="5">
        <v>45887.813332939812</v>
      </c>
      <c r="D368">
        <v>0</v>
      </c>
      <c r="E368" s="3">
        <v>25203826</v>
      </c>
      <c r="F368" s="12">
        <f t="shared" si="10"/>
        <v>45887.479999606476</v>
      </c>
      <c r="G368" s="10" t="str">
        <f t="shared" si="11"/>
        <v>11:30:00</v>
      </c>
      <c r="H368" t="str">
        <f>LEFT(SearchData[[#This Row],[userId]],8)</f>
        <v>fc8596ff</v>
      </c>
    </row>
    <row r="369" spans="1:8">
      <c r="A369" t="s">
        <v>629</v>
      </c>
      <c r="B369" t="s">
        <v>443</v>
      </c>
      <c r="C369" s="5">
        <v>45887.984489340277</v>
      </c>
      <c r="D369">
        <v>4048</v>
      </c>
      <c r="E369" s="3" t="s">
        <v>14</v>
      </c>
      <c r="F369" s="12">
        <f t="shared" si="10"/>
        <v>45887.651156006941</v>
      </c>
      <c r="G369" s="10" t="str">
        <f t="shared" si="11"/>
        <v>15:45:00</v>
      </c>
      <c r="H369" t="str">
        <f>LEFT(SearchData[[#This Row],[userId]],8)</f>
        <v>65e0d73f</v>
      </c>
    </row>
    <row r="370" spans="1:8">
      <c r="A370" t="s">
        <v>630</v>
      </c>
      <c r="B370" t="s">
        <v>631</v>
      </c>
      <c r="C370" s="5">
        <v>45888.672365856481</v>
      </c>
      <c r="D370">
        <v>4148</v>
      </c>
      <c r="E370" s="3" t="s">
        <v>9</v>
      </c>
      <c r="F370" s="12">
        <f t="shared" si="10"/>
        <v>45888.339032523145</v>
      </c>
      <c r="G370" s="10" t="str">
        <f t="shared" si="11"/>
        <v>08:15:00</v>
      </c>
      <c r="H370" t="str">
        <f>LEFT(SearchData[[#This Row],[userId]],8)</f>
        <v>66f75625</v>
      </c>
    </row>
    <row r="371" spans="1:8">
      <c r="A371" t="s">
        <v>632</v>
      </c>
      <c r="B371" t="s">
        <v>631</v>
      </c>
      <c r="C371" s="5">
        <v>45888.688557453701</v>
      </c>
      <c r="D371">
        <v>0</v>
      </c>
      <c r="E371" s="3" t="s">
        <v>8</v>
      </c>
      <c r="F371" s="12">
        <f t="shared" si="10"/>
        <v>45888.355224120365</v>
      </c>
      <c r="G371" s="10" t="str">
        <f t="shared" si="11"/>
        <v>08:30:00</v>
      </c>
      <c r="H371" t="str">
        <f>LEFT(SearchData[[#This Row],[userId]],8)</f>
        <v>66f75625</v>
      </c>
    </row>
    <row r="372" spans="1:8">
      <c r="A372" t="s">
        <v>633</v>
      </c>
      <c r="B372" t="s">
        <v>631</v>
      </c>
      <c r="C372" s="5">
        <v>45888.729698287039</v>
      </c>
      <c r="D372">
        <v>197</v>
      </c>
      <c r="E372" s="3" t="s">
        <v>9</v>
      </c>
      <c r="F372" s="12">
        <f t="shared" si="10"/>
        <v>45888.396364953704</v>
      </c>
      <c r="G372" s="10" t="str">
        <f t="shared" si="11"/>
        <v>09:30:00</v>
      </c>
      <c r="H372" t="str">
        <f>LEFT(SearchData[[#This Row],[userId]],8)</f>
        <v>66f75625</v>
      </c>
    </row>
    <row r="373" spans="1:8">
      <c r="A373" t="s">
        <v>634</v>
      </c>
      <c r="B373" t="s">
        <v>443</v>
      </c>
      <c r="C373" s="5">
        <v>45888.91888597222</v>
      </c>
      <c r="D373">
        <v>4052</v>
      </c>
      <c r="E373" s="3" t="s">
        <v>14</v>
      </c>
      <c r="F373" s="12">
        <f t="shared" si="10"/>
        <v>45888.585552638884</v>
      </c>
      <c r="G373" s="10" t="str">
        <f t="shared" si="11"/>
        <v>14:00:00</v>
      </c>
      <c r="H373" t="str">
        <f>LEFT(SearchData[[#This Row],[userId]],8)</f>
        <v>65e0d73f</v>
      </c>
    </row>
    <row r="374" spans="1:8">
      <c r="A374" t="s">
        <v>635</v>
      </c>
      <c r="B374" t="s">
        <v>391</v>
      </c>
      <c r="C374" s="5">
        <v>45889.048564062497</v>
      </c>
      <c r="D374">
        <v>87134</v>
      </c>
      <c r="E374" s="3">
        <v>25211480</v>
      </c>
      <c r="F374" s="12">
        <f t="shared" si="10"/>
        <v>45888.715230729162</v>
      </c>
      <c r="G374" s="10" t="str">
        <f t="shared" si="11"/>
        <v>17:15:00</v>
      </c>
      <c r="H374" t="str">
        <f>LEFT(SearchData[[#This Row],[userId]],8)</f>
        <v>162b0343</v>
      </c>
    </row>
    <row r="375" spans="1:8">
      <c r="A375" t="s">
        <v>636</v>
      </c>
      <c r="B375" t="s">
        <v>611</v>
      </c>
      <c r="C375" s="5">
        <v>45889.063267013888</v>
      </c>
      <c r="D375">
        <v>4056</v>
      </c>
      <c r="E375" s="3" t="s">
        <v>10</v>
      </c>
      <c r="F375" s="12">
        <f t="shared" si="10"/>
        <v>45888.729933680552</v>
      </c>
      <c r="G375" s="10" t="str">
        <f t="shared" si="11"/>
        <v>17:30:00</v>
      </c>
      <c r="H375" t="str">
        <f>LEFT(SearchData[[#This Row],[userId]],8)</f>
        <v>cf20f9c8</v>
      </c>
    </row>
    <row r="376" spans="1:8">
      <c r="A376" t="s">
        <v>637</v>
      </c>
      <c r="B376" t="s">
        <v>638</v>
      </c>
      <c r="C376" s="5">
        <v>45889.269458402778</v>
      </c>
      <c r="D376">
        <v>4056</v>
      </c>
      <c r="E376" s="3" t="s">
        <v>229</v>
      </c>
      <c r="F376" s="12">
        <f t="shared" si="10"/>
        <v>45888.936125069442</v>
      </c>
      <c r="G376" s="10" t="str">
        <f t="shared" si="11"/>
        <v>22:30:00</v>
      </c>
      <c r="H376" t="str">
        <f>LEFT(SearchData[[#This Row],[userId]],8)</f>
        <v>ad0cce28</v>
      </c>
    </row>
    <row r="377" spans="1:8">
      <c r="A377" t="s">
        <v>639</v>
      </c>
      <c r="B377" t="s">
        <v>638</v>
      </c>
      <c r="C377" s="5">
        <v>45889.315448738424</v>
      </c>
      <c r="D377">
        <v>4056</v>
      </c>
      <c r="E377" s="3" t="s">
        <v>229</v>
      </c>
      <c r="F377" s="12">
        <f t="shared" si="10"/>
        <v>45888.982115405088</v>
      </c>
      <c r="G377" s="10" t="str">
        <f t="shared" si="11"/>
        <v>23:30:00</v>
      </c>
      <c r="H377" t="str">
        <f>LEFT(SearchData[[#This Row],[userId]],8)</f>
        <v>ad0cce28</v>
      </c>
    </row>
    <row r="378" spans="1:8">
      <c r="A378" t="s">
        <v>640</v>
      </c>
      <c r="B378" t="s">
        <v>638</v>
      </c>
      <c r="C378" s="5">
        <v>45889.423414282406</v>
      </c>
      <c r="D378">
        <v>4056</v>
      </c>
      <c r="E378" s="3" t="s">
        <v>229</v>
      </c>
      <c r="F378" s="12">
        <f t="shared" si="10"/>
        <v>45889.09008094907</v>
      </c>
      <c r="G378" s="10" t="str">
        <f t="shared" si="11"/>
        <v>02:15:00</v>
      </c>
      <c r="H378" t="str">
        <f>LEFT(SearchData[[#This Row],[userId]],8)</f>
        <v>ad0cce28</v>
      </c>
    </row>
    <row r="379" spans="1:8">
      <c r="A379" t="s">
        <v>641</v>
      </c>
      <c r="B379" t="s">
        <v>638</v>
      </c>
      <c r="C379" s="5">
        <v>45889.472380995372</v>
      </c>
      <c r="D379">
        <v>4056</v>
      </c>
      <c r="E379" s="3" t="s">
        <v>229</v>
      </c>
      <c r="F379" s="12">
        <f t="shared" si="10"/>
        <v>45889.139047662036</v>
      </c>
      <c r="G379" s="10" t="str">
        <f t="shared" si="11"/>
        <v>03:15:00</v>
      </c>
      <c r="H379" t="str">
        <f>LEFT(SearchData[[#This Row],[userId]],8)</f>
        <v>ad0cce28</v>
      </c>
    </row>
    <row r="380" spans="1:8">
      <c r="A380" t="s">
        <v>642</v>
      </c>
      <c r="B380" t="s">
        <v>638</v>
      </c>
      <c r="C380" s="5">
        <v>45889.50939402778</v>
      </c>
      <c r="D380">
        <v>4056</v>
      </c>
      <c r="E380" s="3" t="s">
        <v>229</v>
      </c>
      <c r="F380" s="12">
        <f t="shared" si="10"/>
        <v>45889.176060694444</v>
      </c>
      <c r="G380" s="10" t="str">
        <f t="shared" si="11"/>
        <v>04:15:00</v>
      </c>
      <c r="H380" t="str">
        <f>LEFT(SearchData[[#This Row],[userId]],8)</f>
        <v>ad0cce28</v>
      </c>
    </row>
    <row r="381" spans="1:8">
      <c r="A381" t="s">
        <v>643</v>
      </c>
      <c r="B381" t="s">
        <v>443</v>
      </c>
      <c r="C381" s="5">
        <v>45889.699065856483</v>
      </c>
      <c r="D381">
        <v>4057</v>
      </c>
      <c r="E381" s="3" t="s">
        <v>14</v>
      </c>
      <c r="F381" s="12">
        <f t="shared" si="10"/>
        <v>45889.365732523147</v>
      </c>
      <c r="G381" s="10" t="str">
        <f t="shared" si="11"/>
        <v>08:45:00</v>
      </c>
      <c r="H381" t="str">
        <f>LEFT(SearchData[[#This Row],[userId]],8)</f>
        <v>65e0d73f</v>
      </c>
    </row>
    <row r="382" spans="1:8">
      <c r="A382" t="s">
        <v>644</v>
      </c>
      <c r="B382" t="s">
        <v>638</v>
      </c>
      <c r="C382" s="5">
        <v>45889.885711782408</v>
      </c>
      <c r="D382">
        <v>4057</v>
      </c>
      <c r="E382" s="3" t="s">
        <v>245</v>
      </c>
      <c r="F382" s="12">
        <f t="shared" si="10"/>
        <v>45889.552378449072</v>
      </c>
      <c r="G382" s="10" t="str">
        <f t="shared" si="11"/>
        <v>13:15:00</v>
      </c>
      <c r="H382" t="str">
        <f>LEFT(SearchData[[#This Row],[userId]],8)</f>
        <v>ad0cce28</v>
      </c>
    </row>
    <row r="383" spans="1:8">
      <c r="A383" t="s">
        <v>645</v>
      </c>
      <c r="B383" t="s">
        <v>638</v>
      </c>
      <c r="C383" s="5">
        <v>45889.887191886577</v>
      </c>
      <c r="D383">
        <v>0</v>
      </c>
      <c r="E383" s="3" t="s">
        <v>229</v>
      </c>
      <c r="F383" s="12">
        <f t="shared" si="10"/>
        <v>45889.553858553241</v>
      </c>
      <c r="G383" s="10" t="str">
        <f t="shared" si="11"/>
        <v>13:15:00</v>
      </c>
      <c r="H383" t="str">
        <f>LEFT(SearchData[[#This Row],[userId]],8)</f>
        <v>ad0cce28</v>
      </c>
    </row>
    <row r="384" spans="1:8">
      <c r="A384" t="s">
        <v>646</v>
      </c>
      <c r="B384" t="s">
        <v>443</v>
      </c>
      <c r="C384" s="5">
        <v>45889.919342361114</v>
      </c>
      <c r="D384">
        <v>4057</v>
      </c>
      <c r="E384" s="3" t="s">
        <v>14</v>
      </c>
      <c r="F384" s="12">
        <f t="shared" si="10"/>
        <v>45889.586009027778</v>
      </c>
      <c r="G384" s="10" t="str">
        <f t="shared" si="11"/>
        <v>14:00:00</v>
      </c>
      <c r="H384" t="str">
        <f>LEFT(SearchData[[#This Row],[userId]],8)</f>
        <v>65e0d73f</v>
      </c>
    </row>
    <row r="385" spans="1:8">
      <c r="A385" t="s">
        <v>647</v>
      </c>
      <c r="B385" t="s">
        <v>638</v>
      </c>
      <c r="C385" s="5">
        <v>45890.004827395831</v>
      </c>
      <c r="D385">
        <v>4057</v>
      </c>
      <c r="E385" s="3" t="s">
        <v>229</v>
      </c>
      <c r="F385" s="12">
        <f t="shared" si="10"/>
        <v>45889.671494062495</v>
      </c>
      <c r="G385" s="10" t="str">
        <f t="shared" si="11"/>
        <v>16:00:00</v>
      </c>
      <c r="H385" t="str">
        <f>LEFT(SearchData[[#This Row],[userId]],8)</f>
        <v>ad0cce28</v>
      </c>
    </row>
    <row r="386" spans="1:8">
      <c r="A386" t="s">
        <v>648</v>
      </c>
      <c r="B386" t="s">
        <v>638</v>
      </c>
      <c r="C386" s="5">
        <v>45890.077688055557</v>
      </c>
      <c r="D386">
        <v>4057</v>
      </c>
      <c r="E386" s="3" t="s">
        <v>229</v>
      </c>
      <c r="F386" s="12">
        <f t="shared" ref="F386:F449" si="12">C386-TIME(8,0,0)</f>
        <v>45889.744354722221</v>
      </c>
      <c r="G386" s="10" t="str">
        <f t="shared" ref="G386:G449" si="13">TEXT(MROUND(C386-TIME(8,0,0), "0:15"),"HH:MM:SS")</f>
        <v>17:45:00</v>
      </c>
      <c r="H386" t="str">
        <f>LEFT(SearchData[[#This Row],[userId]],8)</f>
        <v>ad0cce28</v>
      </c>
    </row>
    <row r="387" spans="1:8">
      <c r="A387" s="1" t="s">
        <v>649</v>
      </c>
      <c r="B387" t="s">
        <v>638</v>
      </c>
      <c r="C387" s="5">
        <v>45890.130479490741</v>
      </c>
      <c r="D387">
        <v>4058</v>
      </c>
      <c r="E387" s="3" t="s">
        <v>229</v>
      </c>
      <c r="F387" s="12">
        <f t="shared" si="12"/>
        <v>45889.797146157405</v>
      </c>
      <c r="G387" s="10" t="str">
        <f t="shared" si="13"/>
        <v>19:15:00</v>
      </c>
      <c r="H387" t="str">
        <f>LEFT(SearchData[[#This Row],[userId]],8)</f>
        <v>ad0cce28</v>
      </c>
    </row>
    <row r="388" spans="1:8">
      <c r="A388" t="s">
        <v>650</v>
      </c>
      <c r="B388" t="s">
        <v>638</v>
      </c>
      <c r="C388" s="5">
        <v>45890.330932800927</v>
      </c>
      <c r="D388">
        <v>4058</v>
      </c>
      <c r="E388" s="3" t="s">
        <v>229</v>
      </c>
      <c r="F388" s="12">
        <f t="shared" si="12"/>
        <v>45889.997599467591</v>
      </c>
      <c r="G388" s="10" t="str">
        <f t="shared" si="13"/>
        <v>00:00:00</v>
      </c>
      <c r="H388" t="str">
        <f>LEFT(SearchData[[#This Row],[userId]],8)</f>
        <v>ad0cce28</v>
      </c>
    </row>
    <row r="389" spans="1:8">
      <c r="A389" t="s">
        <v>651</v>
      </c>
      <c r="B389" t="s">
        <v>638</v>
      </c>
      <c r="C389" s="5">
        <v>45890.418498726853</v>
      </c>
      <c r="D389">
        <v>4058</v>
      </c>
      <c r="E389" s="3" t="s">
        <v>229</v>
      </c>
      <c r="F389" s="12">
        <f t="shared" si="12"/>
        <v>45890.085165393517</v>
      </c>
      <c r="G389" s="10" t="str">
        <f t="shared" si="13"/>
        <v>02:00:00</v>
      </c>
      <c r="H389" t="str">
        <f>LEFT(SearchData[[#This Row],[userId]],8)</f>
        <v>ad0cce28</v>
      </c>
    </row>
    <row r="390" spans="1:8">
      <c r="A390" t="s">
        <v>652</v>
      </c>
      <c r="B390" t="s">
        <v>638</v>
      </c>
      <c r="C390" s="5">
        <v>45890.527272418978</v>
      </c>
      <c r="D390">
        <v>4058</v>
      </c>
      <c r="E390" s="3" t="s">
        <v>229</v>
      </c>
      <c r="F390" s="12">
        <f t="shared" si="12"/>
        <v>45890.193939085642</v>
      </c>
      <c r="G390" s="10" t="str">
        <f t="shared" si="13"/>
        <v>04:45:00</v>
      </c>
      <c r="H390" t="str">
        <f>LEFT(SearchData[[#This Row],[userId]],8)</f>
        <v>ad0cce28</v>
      </c>
    </row>
    <row r="391" spans="1:8">
      <c r="A391" t="s">
        <v>653</v>
      </c>
      <c r="B391" t="s">
        <v>478</v>
      </c>
      <c r="C391" s="5">
        <v>45890.688131087962</v>
      </c>
      <c r="D391">
        <v>4058</v>
      </c>
      <c r="E391" s="3" t="s">
        <v>10</v>
      </c>
      <c r="F391" s="12">
        <f t="shared" si="12"/>
        <v>45890.354797754626</v>
      </c>
      <c r="G391" s="10" t="str">
        <f t="shared" si="13"/>
        <v>08:30:00</v>
      </c>
      <c r="H391" t="str">
        <f>LEFT(SearchData[[#This Row],[userId]],8)</f>
        <v>dd5359fa</v>
      </c>
    </row>
    <row r="392" spans="1:8">
      <c r="A392" s="1" t="s">
        <v>654</v>
      </c>
      <c r="B392" t="s">
        <v>470</v>
      </c>
      <c r="C392" s="5">
        <v>45890.807373912037</v>
      </c>
      <c r="D392">
        <v>0</v>
      </c>
      <c r="E392" s="3" t="s">
        <v>11</v>
      </c>
      <c r="F392" s="12">
        <f t="shared" si="12"/>
        <v>45890.474040578702</v>
      </c>
      <c r="G392" s="10" t="str">
        <f t="shared" si="13"/>
        <v>11:30:00</v>
      </c>
      <c r="H392" t="str">
        <f>LEFT(SearchData[[#This Row],[userId]],8)</f>
        <v>8eca698f</v>
      </c>
    </row>
    <row r="393" spans="1:8">
      <c r="A393" t="s">
        <v>655</v>
      </c>
      <c r="B393" t="s">
        <v>656</v>
      </c>
      <c r="C393" s="5">
        <v>45890.808006851854</v>
      </c>
      <c r="D393">
        <v>4058</v>
      </c>
      <c r="E393" s="3" t="s">
        <v>657</v>
      </c>
      <c r="F393" s="12">
        <f t="shared" si="12"/>
        <v>45890.474673518518</v>
      </c>
      <c r="G393" s="10" t="str">
        <f t="shared" si="13"/>
        <v>11:30:00</v>
      </c>
      <c r="H393" t="str">
        <f>LEFT(SearchData[[#This Row],[userId]],8)</f>
        <v>2d4eebd6</v>
      </c>
    </row>
    <row r="394" spans="1:8">
      <c r="A394" t="s">
        <v>658</v>
      </c>
      <c r="B394" t="s">
        <v>289</v>
      </c>
      <c r="C394" s="5">
        <v>45891.065144502318</v>
      </c>
      <c r="D394">
        <v>0</v>
      </c>
      <c r="E394" s="3" t="s">
        <v>659</v>
      </c>
      <c r="F394" s="12">
        <f t="shared" si="12"/>
        <v>45890.731811168982</v>
      </c>
      <c r="G394" s="10" t="str">
        <f t="shared" si="13"/>
        <v>17:30:00</v>
      </c>
      <c r="H394" t="str">
        <f>LEFT(SearchData[[#This Row],[userId]],8)</f>
        <v>5db0b69a</v>
      </c>
    </row>
    <row r="395" spans="1:8">
      <c r="A395" t="s">
        <v>660</v>
      </c>
      <c r="B395" t="s">
        <v>289</v>
      </c>
      <c r="C395" s="5">
        <v>45891.06586263889</v>
      </c>
      <c r="D395">
        <v>0</v>
      </c>
      <c r="E395" s="3" t="s">
        <v>661</v>
      </c>
      <c r="F395" s="12">
        <f t="shared" si="12"/>
        <v>45890.732529305555</v>
      </c>
      <c r="G395" s="10" t="str">
        <f t="shared" si="13"/>
        <v>17:30:00</v>
      </c>
      <c r="H395" t="str">
        <f>LEFT(SearchData[[#This Row],[userId]],8)</f>
        <v>5db0b69a</v>
      </c>
    </row>
    <row r="396" spans="1:8">
      <c r="A396" t="s">
        <v>662</v>
      </c>
      <c r="B396" t="s">
        <v>137</v>
      </c>
      <c r="C396" s="5">
        <v>45891.107425104165</v>
      </c>
      <c r="D396">
        <v>4060</v>
      </c>
      <c r="E396" s="3" t="s">
        <v>663</v>
      </c>
      <c r="F396" s="12">
        <f t="shared" si="12"/>
        <v>45890.774091770829</v>
      </c>
      <c r="G396" s="10" t="str">
        <f t="shared" si="13"/>
        <v>18:30:00</v>
      </c>
      <c r="H396" t="str">
        <f>LEFT(SearchData[[#This Row],[userId]],8)</f>
        <v>fb7d1ae3</v>
      </c>
    </row>
    <row r="397" spans="1:8">
      <c r="A397" t="s">
        <v>664</v>
      </c>
      <c r="B397" t="s">
        <v>638</v>
      </c>
      <c r="C397" s="5">
        <v>45891.189862118059</v>
      </c>
      <c r="D397">
        <v>4060</v>
      </c>
      <c r="E397" s="3" t="s">
        <v>245</v>
      </c>
      <c r="F397" s="12">
        <f t="shared" si="12"/>
        <v>45890.856528784723</v>
      </c>
      <c r="G397" s="10" t="str">
        <f t="shared" si="13"/>
        <v>20:30:00</v>
      </c>
      <c r="H397" t="str">
        <f>LEFT(SearchData[[#This Row],[userId]],8)</f>
        <v>ad0cce28</v>
      </c>
    </row>
    <row r="398" spans="1:8">
      <c r="A398" t="s">
        <v>665</v>
      </c>
      <c r="B398" t="s">
        <v>487</v>
      </c>
      <c r="C398" s="5">
        <v>45891.247912164348</v>
      </c>
      <c r="D398">
        <v>87350</v>
      </c>
      <c r="E398" s="3" t="s">
        <v>296</v>
      </c>
      <c r="F398" s="12">
        <f t="shared" si="12"/>
        <v>45890.914578831012</v>
      </c>
      <c r="G398" s="10" t="str">
        <f t="shared" si="13"/>
        <v>22:00:00</v>
      </c>
      <c r="H398" t="str">
        <f>LEFT(SearchData[[#This Row],[userId]],8)</f>
        <v>f676770a</v>
      </c>
    </row>
    <row r="399" spans="1:8">
      <c r="A399" t="s">
        <v>666</v>
      </c>
      <c r="B399" t="s">
        <v>487</v>
      </c>
      <c r="C399" s="5">
        <v>45891.302423807872</v>
      </c>
      <c r="D399">
        <v>87350</v>
      </c>
      <c r="E399" s="3" t="s">
        <v>296</v>
      </c>
      <c r="F399" s="12">
        <f t="shared" si="12"/>
        <v>45890.969090474537</v>
      </c>
      <c r="G399" s="10" t="str">
        <f t="shared" si="13"/>
        <v>23:15:00</v>
      </c>
      <c r="H399" t="str">
        <f>LEFT(SearchData[[#This Row],[userId]],8)</f>
        <v>f676770a</v>
      </c>
    </row>
    <row r="400" spans="1:8">
      <c r="A400" t="s">
        <v>667</v>
      </c>
      <c r="B400" t="s">
        <v>420</v>
      </c>
      <c r="C400" s="5">
        <v>45891.310012719907</v>
      </c>
      <c r="D400">
        <v>4060</v>
      </c>
      <c r="E400" s="3" t="s">
        <v>186</v>
      </c>
      <c r="F400" s="12">
        <f t="shared" si="12"/>
        <v>45890.976679386571</v>
      </c>
      <c r="G400" s="10" t="str">
        <f t="shared" si="13"/>
        <v>23:30:00</v>
      </c>
      <c r="H400" t="str">
        <f>LEFT(SearchData[[#This Row],[userId]],8)</f>
        <v>6d2d86c1</v>
      </c>
    </row>
    <row r="401" spans="1:8">
      <c r="A401" t="s">
        <v>668</v>
      </c>
      <c r="B401" t="s">
        <v>487</v>
      </c>
      <c r="C401" s="5">
        <v>45891.335435243054</v>
      </c>
      <c r="D401">
        <v>4060</v>
      </c>
      <c r="E401" s="3" t="s">
        <v>296</v>
      </c>
      <c r="F401" s="12">
        <f t="shared" si="12"/>
        <v>45891.002101909718</v>
      </c>
      <c r="G401" s="10" t="str">
        <f t="shared" si="13"/>
        <v>00:00:00</v>
      </c>
      <c r="H401" t="str">
        <f>LEFT(SearchData[[#This Row],[userId]],8)</f>
        <v>f676770a</v>
      </c>
    </row>
    <row r="402" spans="1:8">
      <c r="A402" t="s">
        <v>669</v>
      </c>
      <c r="B402" t="s">
        <v>487</v>
      </c>
      <c r="C402" s="5">
        <v>45891.341456898146</v>
      </c>
      <c r="D402">
        <v>4060</v>
      </c>
      <c r="E402" s="3" t="s">
        <v>186</v>
      </c>
      <c r="F402" s="12">
        <f t="shared" si="12"/>
        <v>45891.00812356481</v>
      </c>
      <c r="G402" s="10" t="str">
        <f t="shared" si="13"/>
        <v>00:15:00</v>
      </c>
      <c r="H402" t="str">
        <f>LEFT(SearchData[[#This Row],[userId]],8)</f>
        <v>f676770a</v>
      </c>
    </row>
    <row r="403" spans="1:8">
      <c r="A403" t="s">
        <v>670</v>
      </c>
      <c r="B403" t="s">
        <v>487</v>
      </c>
      <c r="C403" s="5">
        <v>45891.416883692131</v>
      </c>
      <c r="D403">
        <v>87350</v>
      </c>
      <c r="E403" s="3" t="s">
        <v>296</v>
      </c>
      <c r="F403" s="12">
        <f t="shared" si="12"/>
        <v>45891.083550358795</v>
      </c>
      <c r="G403" s="10" t="str">
        <f t="shared" si="13"/>
        <v>02:00:00</v>
      </c>
      <c r="H403" t="str">
        <f>LEFT(SearchData[[#This Row],[userId]],8)</f>
        <v>f676770a</v>
      </c>
    </row>
    <row r="404" spans="1:8">
      <c r="A404" t="s">
        <v>671</v>
      </c>
      <c r="B404" t="s">
        <v>487</v>
      </c>
      <c r="C404" s="5">
        <v>45891.467131724537</v>
      </c>
      <c r="D404">
        <v>87352</v>
      </c>
      <c r="E404" s="3" t="s">
        <v>296</v>
      </c>
      <c r="F404" s="12">
        <f t="shared" si="12"/>
        <v>45891.133798391202</v>
      </c>
      <c r="G404" s="10" t="str">
        <f t="shared" si="13"/>
        <v>03:15:00</v>
      </c>
      <c r="H404" t="str">
        <f>LEFT(SearchData[[#This Row],[userId]],8)</f>
        <v>f676770a</v>
      </c>
    </row>
    <row r="405" spans="1:8">
      <c r="A405" t="s">
        <v>672</v>
      </c>
      <c r="B405" t="s">
        <v>257</v>
      </c>
      <c r="C405" s="5">
        <v>45891.526461331021</v>
      </c>
      <c r="D405">
        <v>4060</v>
      </c>
      <c r="E405" s="3" t="s">
        <v>186</v>
      </c>
      <c r="F405" s="12">
        <f t="shared" si="12"/>
        <v>45891.193127997685</v>
      </c>
      <c r="G405" s="10" t="str">
        <f t="shared" si="13"/>
        <v>04:45:00</v>
      </c>
      <c r="H405" t="str">
        <f>LEFT(SearchData[[#This Row],[userId]],8)</f>
        <v>60e012f5</v>
      </c>
    </row>
    <row r="406" spans="1:8">
      <c r="A406" t="s">
        <v>673</v>
      </c>
      <c r="B406" t="s">
        <v>487</v>
      </c>
      <c r="C406" s="5">
        <v>45891.528159710651</v>
      </c>
      <c r="D406">
        <v>1</v>
      </c>
      <c r="E406" s="3" t="s">
        <v>186</v>
      </c>
      <c r="F406" s="12">
        <f t="shared" si="12"/>
        <v>45891.194826377316</v>
      </c>
      <c r="G406" s="10" t="str">
        <f t="shared" si="13"/>
        <v>04:45:00</v>
      </c>
      <c r="H406" t="str">
        <f>LEFT(SearchData[[#This Row],[userId]],8)</f>
        <v>f676770a</v>
      </c>
    </row>
    <row r="407" spans="1:8">
      <c r="A407" t="s">
        <v>674</v>
      </c>
      <c r="B407" t="s">
        <v>487</v>
      </c>
      <c r="C407" s="5">
        <v>45891.541340254633</v>
      </c>
      <c r="D407">
        <v>4060</v>
      </c>
      <c r="E407" s="3" t="s">
        <v>296</v>
      </c>
      <c r="F407" s="12">
        <f t="shared" si="12"/>
        <v>45891.208006921297</v>
      </c>
      <c r="G407" s="10" t="str">
        <f t="shared" si="13"/>
        <v>05:00:00</v>
      </c>
      <c r="H407" t="str">
        <f>LEFT(SearchData[[#This Row],[userId]],8)</f>
        <v>f676770a</v>
      </c>
    </row>
    <row r="408" spans="1:8">
      <c r="A408" t="s">
        <v>675</v>
      </c>
      <c r="B408" t="s">
        <v>257</v>
      </c>
      <c r="C408" s="5">
        <v>45891.613049305553</v>
      </c>
      <c r="D408">
        <v>4060</v>
      </c>
      <c r="E408" s="3" t="s">
        <v>186</v>
      </c>
      <c r="F408" s="12">
        <f t="shared" si="12"/>
        <v>45891.279715972218</v>
      </c>
      <c r="G408" s="10" t="str">
        <f t="shared" si="13"/>
        <v>06:45:00</v>
      </c>
      <c r="H408" t="str">
        <f>LEFT(SearchData[[#This Row],[userId]],8)</f>
        <v>60e012f5</v>
      </c>
    </row>
    <row r="409" spans="1:8">
      <c r="A409" t="s">
        <v>676</v>
      </c>
      <c r="B409" t="s">
        <v>137</v>
      </c>
      <c r="C409" s="5">
        <v>45891.92933363426</v>
      </c>
      <c r="D409">
        <v>87522</v>
      </c>
      <c r="E409" s="3" t="s">
        <v>661</v>
      </c>
      <c r="F409" s="12">
        <f t="shared" si="12"/>
        <v>45891.596000300924</v>
      </c>
      <c r="G409" s="10" t="str">
        <f t="shared" si="13"/>
        <v>14:15:00</v>
      </c>
      <c r="H409" t="str">
        <f>LEFT(SearchData[[#This Row],[userId]],8)</f>
        <v>fb7d1ae3</v>
      </c>
    </row>
    <row r="410" spans="1:8">
      <c r="A410" t="s">
        <v>677</v>
      </c>
      <c r="B410" t="s">
        <v>137</v>
      </c>
      <c r="C410" s="5">
        <v>45892.002953784722</v>
      </c>
      <c r="D410">
        <v>6240</v>
      </c>
      <c r="E410" s="3" t="s">
        <v>663</v>
      </c>
      <c r="F410" s="12">
        <f t="shared" si="12"/>
        <v>45891.669620451386</v>
      </c>
      <c r="G410" s="10" t="str">
        <f t="shared" si="13"/>
        <v>16:00:00</v>
      </c>
      <c r="H410" t="str">
        <f>LEFT(SearchData[[#This Row],[userId]],8)</f>
        <v>fb7d1ae3</v>
      </c>
    </row>
    <row r="411" spans="1:8">
      <c r="A411" t="s">
        <v>678</v>
      </c>
      <c r="B411" t="s">
        <v>487</v>
      </c>
      <c r="C411" s="5">
        <v>45892.152321493057</v>
      </c>
      <c r="D411">
        <v>87526</v>
      </c>
      <c r="E411" s="3" t="s">
        <v>296</v>
      </c>
      <c r="F411" s="12">
        <f t="shared" si="12"/>
        <v>45891.818988159721</v>
      </c>
      <c r="G411" s="10" t="str">
        <f t="shared" si="13"/>
        <v>19:45:00</v>
      </c>
      <c r="H411" t="str">
        <f>LEFT(SearchData[[#This Row],[userId]],8)</f>
        <v>f676770a</v>
      </c>
    </row>
    <row r="412" spans="1:8">
      <c r="A412" t="s">
        <v>679</v>
      </c>
      <c r="B412" t="s">
        <v>487</v>
      </c>
      <c r="C412" s="5">
        <v>45892.15346212963</v>
      </c>
      <c r="D412">
        <v>87526</v>
      </c>
      <c r="E412" s="3" t="s">
        <v>491</v>
      </c>
      <c r="F412" s="12">
        <f t="shared" si="12"/>
        <v>45891.820128796295</v>
      </c>
      <c r="G412" s="10" t="str">
        <f t="shared" si="13"/>
        <v>19:45:00</v>
      </c>
      <c r="H412" t="str">
        <f>LEFT(SearchData[[#This Row],[userId]],8)</f>
        <v>f676770a</v>
      </c>
    </row>
    <row r="413" spans="1:8">
      <c r="A413" t="s">
        <v>680</v>
      </c>
      <c r="B413" t="s">
        <v>487</v>
      </c>
      <c r="C413" s="5">
        <v>45892.186487858795</v>
      </c>
      <c r="D413">
        <v>6240</v>
      </c>
      <c r="E413" s="3" t="s">
        <v>302</v>
      </c>
      <c r="F413" s="12">
        <f t="shared" si="12"/>
        <v>45891.853154525459</v>
      </c>
      <c r="G413" s="10" t="str">
        <f t="shared" si="13"/>
        <v>20:30:00</v>
      </c>
      <c r="H413" t="str">
        <f>LEFT(SearchData[[#This Row],[userId]],8)</f>
        <v>f676770a</v>
      </c>
    </row>
    <row r="414" spans="1:8">
      <c r="A414" t="s">
        <v>681</v>
      </c>
      <c r="B414" t="s">
        <v>487</v>
      </c>
      <c r="C414" s="5">
        <v>45892.202877060183</v>
      </c>
      <c r="D414">
        <v>6240</v>
      </c>
      <c r="E414" s="3" t="s">
        <v>186</v>
      </c>
      <c r="F414" s="12">
        <f t="shared" si="12"/>
        <v>45891.869543726847</v>
      </c>
      <c r="G414" s="10" t="str">
        <f t="shared" si="13"/>
        <v>20:45:00</v>
      </c>
      <c r="H414" t="str">
        <f>LEFT(SearchData[[#This Row],[userId]],8)</f>
        <v>f676770a</v>
      </c>
    </row>
    <row r="415" spans="1:8">
      <c r="A415" t="s">
        <v>682</v>
      </c>
      <c r="B415" t="s">
        <v>487</v>
      </c>
      <c r="C415" s="5">
        <v>45892.212885949077</v>
      </c>
      <c r="D415">
        <v>6240</v>
      </c>
      <c r="E415" s="3" t="s">
        <v>186</v>
      </c>
      <c r="F415" s="12">
        <f t="shared" si="12"/>
        <v>45891.879552615741</v>
      </c>
      <c r="G415" s="10" t="str">
        <f t="shared" si="13"/>
        <v>21:00:00</v>
      </c>
      <c r="H415" t="str">
        <f>LEFT(SearchData[[#This Row],[userId]],8)</f>
        <v>f676770a</v>
      </c>
    </row>
    <row r="416" spans="1:8">
      <c r="A416" t="s">
        <v>683</v>
      </c>
      <c r="B416" t="s">
        <v>420</v>
      </c>
      <c r="C416" s="5">
        <v>45892.33458516204</v>
      </c>
      <c r="D416">
        <v>6240</v>
      </c>
      <c r="E416" s="3" t="s">
        <v>516</v>
      </c>
      <c r="F416" s="12">
        <f t="shared" si="12"/>
        <v>45892.001251828704</v>
      </c>
      <c r="G416" s="10" t="str">
        <f t="shared" si="13"/>
        <v>00:00:00</v>
      </c>
      <c r="H416" t="str">
        <f>LEFT(SearchData[[#This Row],[userId]],8)</f>
        <v>6d2d86c1</v>
      </c>
    </row>
    <row r="417" spans="1:8">
      <c r="A417" t="s">
        <v>684</v>
      </c>
      <c r="B417" t="s">
        <v>420</v>
      </c>
      <c r="C417" s="5">
        <v>45892.343484618053</v>
      </c>
      <c r="D417">
        <v>6240</v>
      </c>
      <c r="E417" s="3" t="s">
        <v>16</v>
      </c>
      <c r="F417" s="12">
        <f t="shared" si="12"/>
        <v>45892.010151284718</v>
      </c>
      <c r="G417" s="10" t="str">
        <f t="shared" si="13"/>
        <v>00:15:00</v>
      </c>
      <c r="H417" t="str">
        <f>LEFT(SearchData[[#This Row],[userId]],8)</f>
        <v>6d2d86c1</v>
      </c>
    </row>
    <row r="418" spans="1:8">
      <c r="A418" t="s">
        <v>685</v>
      </c>
      <c r="B418" t="s">
        <v>487</v>
      </c>
      <c r="C418" s="5">
        <v>45892.417160925928</v>
      </c>
      <c r="D418">
        <v>87528</v>
      </c>
      <c r="E418" s="3" t="s">
        <v>186</v>
      </c>
      <c r="F418" s="12">
        <f t="shared" si="12"/>
        <v>45892.083827592593</v>
      </c>
      <c r="G418" s="10" t="str">
        <f t="shared" si="13"/>
        <v>02:00:00</v>
      </c>
      <c r="H418" t="str">
        <f>LEFT(SearchData[[#This Row],[userId]],8)</f>
        <v>f676770a</v>
      </c>
    </row>
    <row r="419" spans="1:8">
      <c r="A419" t="s">
        <v>686</v>
      </c>
      <c r="B419" t="s">
        <v>487</v>
      </c>
      <c r="C419" s="5">
        <v>45893.161500416667</v>
      </c>
      <c r="D419">
        <v>6240</v>
      </c>
      <c r="E419" s="3" t="s">
        <v>493</v>
      </c>
      <c r="F419" s="12">
        <f t="shared" si="12"/>
        <v>45892.828167083331</v>
      </c>
      <c r="G419" s="10" t="str">
        <f t="shared" si="13"/>
        <v>20:00:00</v>
      </c>
      <c r="H419" t="str">
        <f>LEFT(SearchData[[#This Row],[userId]],8)</f>
        <v>f676770a</v>
      </c>
    </row>
    <row r="420" spans="1:8">
      <c r="A420" t="s">
        <v>687</v>
      </c>
      <c r="B420" t="s">
        <v>487</v>
      </c>
      <c r="C420" s="5">
        <v>45893.179991701392</v>
      </c>
      <c r="D420">
        <v>6240</v>
      </c>
      <c r="E420" s="3" t="s">
        <v>493</v>
      </c>
      <c r="F420" s="12">
        <f t="shared" si="12"/>
        <v>45892.846658368057</v>
      </c>
      <c r="G420" s="10" t="str">
        <f t="shared" si="13"/>
        <v>20:15:00</v>
      </c>
      <c r="H420" t="str">
        <f>LEFT(SearchData[[#This Row],[userId]],8)</f>
        <v>f676770a</v>
      </c>
    </row>
    <row r="421" spans="1:8">
      <c r="A421" t="s">
        <v>688</v>
      </c>
      <c r="B421" t="s">
        <v>487</v>
      </c>
      <c r="C421" s="5">
        <v>45893.268585277779</v>
      </c>
      <c r="D421">
        <v>6240</v>
      </c>
      <c r="E421" s="3" t="s">
        <v>493</v>
      </c>
      <c r="F421" s="12">
        <f t="shared" si="12"/>
        <v>45892.935251944444</v>
      </c>
      <c r="G421" s="10" t="str">
        <f t="shared" si="13"/>
        <v>22:30:00</v>
      </c>
      <c r="H421" t="str">
        <f>LEFT(SearchData[[#This Row],[userId]],8)</f>
        <v>f676770a</v>
      </c>
    </row>
    <row r="422" spans="1:8">
      <c r="A422" t="s">
        <v>689</v>
      </c>
      <c r="B422" t="s">
        <v>487</v>
      </c>
      <c r="C422" s="5">
        <v>45893.323384212963</v>
      </c>
      <c r="D422">
        <v>6240</v>
      </c>
      <c r="E422" s="3" t="s">
        <v>493</v>
      </c>
      <c r="F422" s="12">
        <f t="shared" si="12"/>
        <v>45892.990050879627</v>
      </c>
      <c r="G422" s="10" t="str">
        <f t="shared" si="13"/>
        <v>23:45:00</v>
      </c>
      <c r="H422" t="str">
        <f>LEFT(SearchData[[#This Row],[userId]],8)</f>
        <v>f676770a</v>
      </c>
    </row>
    <row r="423" spans="1:8">
      <c r="A423" t="s">
        <v>690</v>
      </c>
      <c r="B423" t="s">
        <v>487</v>
      </c>
      <c r="C423" s="5">
        <v>45893.325846273146</v>
      </c>
      <c r="D423">
        <v>6240</v>
      </c>
      <c r="E423" s="3" t="s">
        <v>296</v>
      </c>
      <c r="F423" s="12">
        <f t="shared" si="12"/>
        <v>45892.992512939811</v>
      </c>
      <c r="G423" s="10" t="str">
        <f t="shared" si="13"/>
        <v>23:45:00</v>
      </c>
      <c r="H423" t="str">
        <f>LEFT(SearchData[[#This Row],[userId]],8)</f>
        <v>f676770a</v>
      </c>
    </row>
    <row r="424" spans="1:8">
      <c r="A424" t="s">
        <v>691</v>
      </c>
      <c r="B424" t="s">
        <v>487</v>
      </c>
      <c r="C424" s="5">
        <v>45893.388627499997</v>
      </c>
      <c r="D424">
        <v>87556</v>
      </c>
      <c r="E424" s="3" t="s">
        <v>692</v>
      </c>
      <c r="F424" s="12">
        <f t="shared" si="12"/>
        <v>45893.055294166661</v>
      </c>
      <c r="G424" s="10" t="str">
        <f t="shared" si="13"/>
        <v>01:15:00</v>
      </c>
      <c r="H424" t="str">
        <f>LEFT(SearchData[[#This Row],[userId]],8)</f>
        <v>f676770a</v>
      </c>
    </row>
    <row r="425" spans="1:8">
      <c r="A425" t="s">
        <v>693</v>
      </c>
      <c r="B425" t="s">
        <v>420</v>
      </c>
      <c r="C425" s="5">
        <v>45893.417180335651</v>
      </c>
      <c r="D425">
        <v>6240</v>
      </c>
      <c r="E425" s="3" t="s">
        <v>186</v>
      </c>
      <c r="F425" s="12">
        <f t="shared" si="12"/>
        <v>45893.083847002315</v>
      </c>
      <c r="G425" s="10" t="str">
        <f t="shared" si="13"/>
        <v>02:00:00</v>
      </c>
      <c r="H425" t="str">
        <f>LEFT(SearchData[[#This Row],[userId]],8)</f>
        <v>6d2d86c1</v>
      </c>
    </row>
    <row r="426" spans="1:8">
      <c r="A426" t="s">
        <v>694</v>
      </c>
      <c r="B426" t="s">
        <v>487</v>
      </c>
      <c r="C426" s="5">
        <v>45893.417755567127</v>
      </c>
      <c r="D426">
        <v>87556</v>
      </c>
      <c r="E426" s="3" t="s">
        <v>493</v>
      </c>
      <c r="F426" s="12">
        <f t="shared" si="12"/>
        <v>45893.084422233791</v>
      </c>
      <c r="G426" s="10" t="str">
        <f t="shared" si="13"/>
        <v>02:00:00</v>
      </c>
      <c r="H426" t="str">
        <f>LEFT(SearchData[[#This Row],[userId]],8)</f>
        <v>f676770a</v>
      </c>
    </row>
    <row r="427" spans="1:8">
      <c r="A427" t="s">
        <v>695</v>
      </c>
      <c r="B427" t="s">
        <v>487</v>
      </c>
      <c r="C427" s="5">
        <v>45893.625029976851</v>
      </c>
      <c r="D427">
        <v>87557</v>
      </c>
      <c r="E427" s="3" t="s">
        <v>493</v>
      </c>
      <c r="F427" s="12">
        <f t="shared" si="12"/>
        <v>45893.291696643515</v>
      </c>
      <c r="G427" s="10" t="str">
        <f t="shared" si="13"/>
        <v>07:00:00</v>
      </c>
      <c r="H427" t="str">
        <f>LEFT(SearchData[[#This Row],[userId]],8)</f>
        <v>f676770a</v>
      </c>
    </row>
    <row r="428" spans="1:8">
      <c r="A428" t="s">
        <v>696</v>
      </c>
      <c r="B428" t="s">
        <v>228</v>
      </c>
      <c r="C428" s="5">
        <v>45893.833040439815</v>
      </c>
      <c r="D428">
        <v>6240</v>
      </c>
      <c r="E428" s="3" t="s">
        <v>13</v>
      </c>
      <c r="F428" s="12">
        <f t="shared" si="12"/>
        <v>45893.499707106479</v>
      </c>
      <c r="G428" s="10" t="str">
        <f t="shared" si="13"/>
        <v>12:00:00</v>
      </c>
      <c r="H428" t="str">
        <f>LEFT(SearchData[[#This Row],[userId]],8)</f>
        <v>865aaa25</v>
      </c>
    </row>
    <row r="429" spans="1:8">
      <c r="A429" t="s">
        <v>697</v>
      </c>
      <c r="B429" t="s">
        <v>257</v>
      </c>
      <c r="C429" s="5">
        <v>45894.326824768519</v>
      </c>
      <c r="D429">
        <v>6240</v>
      </c>
      <c r="E429" s="3">
        <v>2505660</v>
      </c>
      <c r="F429" s="12">
        <f t="shared" si="12"/>
        <v>45893.993491435183</v>
      </c>
      <c r="G429" s="10" t="str">
        <f t="shared" si="13"/>
        <v>23:45:00</v>
      </c>
      <c r="H429" t="str">
        <f>LEFT(SearchData[[#This Row],[userId]],8)</f>
        <v>60e012f5</v>
      </c>
    </row>
    <row r="430" spans="1:8">
      <c r="A430" t="s">
        <v>698</v>
      </c>
      <c r="B430" t="s">
        <v>699</v>
      </c>
      <c r="C430" s="5">
        <v>45894.346365266203</v>
      </c>
      <c r="D430">
        <v>6240</v>
      </c>
      <c r="E430" s="3" t="s">
        <v>14</v>
      </c>
      <c r="F430" s="12">
        <f t="shared" si="12"/>
        <v>45894.013031932867</v>
      </c>
      <c r="G430" s="10" t="str">
        <f t="shared" si="13"/>
        <v>00:15:00</v>
      </c>
      <c r="H430" t="str">
        <f>LEFT(SearchData[[#This Row],[userId]],8)</f>
        <v>afc40c1e</v>
      </c>
    </row>
    <row r="431" spans="1:8">
      <c r="A431" t="s">
        <v>700</v>
      </c>
      <c r="B431" t="s">
        <v>699</v>
      </c>
      <c r="C431" s="5">
        <v>45894.376662581017</v>
      </c>
      <c r="D431">
        <v>6240</v>
      </c>
      <c r="E431" s="3" t="s">
        <v>701</v>
      </c>
      <c r="F431" s="12">
        <f t="shared" si="12"/>
        <v>45894.043329247681</v>
      </c>
      <c r="G431" s="10" t="str">
        <f t="shared" si="13"/>
        <v>01:00:00</v>
      </c>
      <c r="H431" t="str">
        <f>LEFT(SearchData[[#This Row],[userId]],8)</f>
        <v>afc40c1e</v>
      </c>
    </row>
    <row r="432" spans="1:8">
      <c r="A432" t="s">
        <v>702</v>
      </c>
      <c r="B432" t="s">
        <v>699</v>
      </c>
      <c r="C432" s="5">
        <v>45894.401703298608</v>
      </c>
      <c r="D432">
        <v>30</v>
      </c>
      <c r="E432" s="3" t="s">
        <v>14</v>
      </c>
      <c r="F432" s="12">
        <f t="shared" si="12"/>
        <v>45894.068369965273</v>
      </c>
      <c r="G432" s="10" t="str">
        <f t="shared" si="13"/>
        <v>01:45:00</v>
      </c>
      <c r="H432" t="str">
        <f>LEFT(SearchData[[#This Row],[userId]],8)</f>
        <v>afc40c1e</v>
      </c>
    </row>
    <row r="433" spans="1:8">
      <c r="A433" t="s">
        <v>703</v>
      </c>
      <c r="B433" t="s">
        <v>527</v>
      </c>
      <c r="C433" s="5">
        <v>45894.651227615737</v>
      </c>
      <c r="D433">
        <v>6240</v>
      </c>
      <c r="E433" s="3" t="s">
        <v>704</v>
      </c>
      <c r="F433" s="12">
        <f t="shared" si="12"/>
        <v>45894.317894282402</v>
      </c>
      <c r="G433" s="10" t="str">
        <f t="shared" si="13"/>
        <v>07:45:00</v>
      </c>
      <c r="H433" t="str">
        <f>LEFT(SearchData[[#This Row],[userId]],8)</f>
        <v>0e8ecca7</v>
      </c>
    </row>
    <row r="434" spans="1:8">
      <c r="A434" t="s">
        <v>705</v>
      </c>
      <c r="B434" t="s">
        <v>137</v>
      </c>
      <c r="C434" s="5">
        <v>45894.684143622682</v>
      </c>
      <c r="D434">
        <v>87665</v>
      </c>
      <c r="E434" s="3" t="s">
        <v>661</v>
      </c>
      <c r="F434" s="12">
        <f t="shared" si="12"/>
        <v>45894.350810289347</v>
      </c>
      <c r="G434" s="10" t="str">
        <f t="shared" si="13"/>
        <v>08:30:00</v>
      </c>
      <c r="H434" t="str">
        <f>LEFT(SearchData[[#This Row],[userId]],8)</f>
        <v>fb7d1ae3</v>
      </c>
    </row>
    <row r="435" spans="1:8">
      <c r="A435" t="s">
        <v>706</v>
      </c>
      <c r="B435" t="s">
        <v>443</v>
      </c>
      <c r="C435" s="5">
        <v>45895.715146608796</v>
      </c>
      <c r="D435">
        <v>0</v>
      </c>
      <c r="E435" s="3" t="s">
        <v>14</v>
      </c>
      <c r="F435" s="12">
        <f t="shared" si="12"/>
        <v>45895.38181327546</v>
      </c>
      <c r="G435" s="10" t="str">
        <f t="shared" si="13"/>
        <v>09:15:00</v>
      </c>
      <c r="H435" t="str">
        <f>LEFT(SearchData[[#This Row],[userId]],8)</f>
        <v>65e0d73f</v>
      </c>
    </row>
    <row r="436" spans="1:8">
      <c r="A436" t="s">
        <v>707</v>
      </c>
      <c r="B436" t="s">
        <v>443</v>
      </c>
      <c r="C436" s="5">
        <v>45895.715628518519</v>
      </c>
      <c r="D436">
        <v>6240</v>
      </c>
      <c r="E436" s="3" t="s">
        <v>294</v>
      </c>
      <c r="F436" s="12">
        <f t="shared" si="12"/>
        <v>45895.382295185183</v>
      </c>
      <c r="G436" s="10" t="str">
        <f t="shared" si="13"/>
        <v>09:15:00</v>
      </c>
      <c r="H436" t="str">
        <f>LEFT(SearchData[[#This Row],[userId]],8)</f>
        <v>65e0d73f</v>
      </c>
    </row>
    <row r="437" spans="1:8">
      <c r="A437" t="s">
        <v>708</v>
      </c>
      <c r="B437" t="s">
        <v>137</v>
      </c>
      <c r="C437" s="5">
        <v>45895.951095833334</v>
      </c>
      <c r="D437">
        <v>6242</v>
      </c>
      <c r="E437" s="3" t="s">
        <v>709</v>
      </c>
      <c r="F437" s="12">
        <f t="shared" si="12"/>
        <v>45895.617762499998</v>
      </c>
      <c r="G437" s="10" t="str">
        <f t="shared" si="13"/>
        <v>14:45:00</v>
      </c>
      <c r="H437" t="str">
        <f>LEFT(SearchData[[#This Row],[userId]],8)</f>
        <v>fb7d1ae3</v>
      </c>
    </row>
    <row r="438" spans="1:8">
      <c r="A438" t="s">
        <v>710</v>
      </c>
      <c r="B438" t="s">
        <v>206</v>
      </c>
      <c r="C438" s="5">
        <v>45896.682373842596</v>
      </c>
      <c r="D438">
        <v>6242</v>
      </c>
      <c r="E438" s="3" t="s">
        <v>711</v>
      </c>
      <c r="F438" s="12">
        <f t="shared" si="12"/>
        <v>45896.34904050926</v>
      </c>
      <c r="G438" s="10" t="str">
        <f t="shared" si="13"/>
        <v>08:30:00</v>
      </c>
      <c r="H438" t="str">
        <f>LEFT(SearchData[[#This Row],[userId]],8)</f>
        <v>d6f7ed99</v>
      </c>
    </row>
    <row r="439" spans="1:8">
      <c r="A439" t="s">
        <v>712</v>
      </c>
      <c r="B439" t="s">
        <v>443</v>
      </c>
      <c r="C439" s="5">
        <v>45896.701413807874</v>
      </c>
      <c r="D439">
        <v>6242</v>
      </c>
      <c r="E439" s="3" t="s">
        <v>14</v>
      </c>
      <c r="F439" s="12">
        <f t="shared" si="12"/>
        <v>45896.368080474538</v>
      </c>
      <c r="G439" s="10" t="str">
        <f t="shared" si="13"/>
        <v>08:45:00</v>
      </c>
      <c r="H439" t="str">
        <f>LEFT(SearchData[[#This Row],[userId]],8)</f>
        <v>65e0d73f</v>
      </c>
    </row>
    <row r="440" spans="1:8">
      <c r="A440" t="s">
        <v>713</v>
      </c>
      <c r="B440" t="s">
        <v>192</v>
      </c>
      <c r="C440" s="5">
        <v>45896.762094143516</v>
      </c>
      <c r="D440">
        <v>6242</v>
      </c>
      <c r="E440" s="3" t="s">
        <v>5</v>
      </c>
      <c r="F440" s="12">
        <f t="shared" si="12"/>
        <v>45896.42876081018</v>
      </c>
      <c r="G440" s="10" t="str">
        <f t="shared" si="13"/>
        <v>10:15:00</v>
      </c>
      <c r="H440" t="str">
        <f>LEFT(SearchData[[#This Row],[userId]],8)</f>
        <v>fbfa025f</v>
      </c>
    </row>
    <row r="441" spans="1:8">
      <c r="A441" t="s">
        <v>714</v>
      </c>
      <c r="B441" t="s">
        <v>611</v>
      </c>
      <c r="C441" s="5">
        <v>45897.008533449072</v>
      </c>
      <c r="D441">
        <v>6243</v>
      </c>
      <c r="E441" s="3" t="s">
        <v>10</v>
      </c>
      <c r="F441" s="12">
        <f t="shared" si="12"/>
        <v>45896.675200115737</v>
      </c>
      <c r="G441" s="10" t="str">
        <f t="shared" si="13"/>
        <v>16:15:00</v>
      </c>
      <c r="H441" t="str">
        <f>LEFT(SearchData[[#This Row],[userId]],8)</f>
        <v>cf20f9c8</v>
      </c>
    </row>
    <row r="442" spans="1:8">
      <c r="A442" t="s">
        <v>715</v>
      </c>
      <c r="B442" t="s">
        <v>611</v>
      </c>
      <c r="C442" s="5">
        <v>45897.728293854168</v>
      </c>
      <c r="D442">
        <v>6245</v>
      </c>
      <c r="E442" s="3" t="s">
        <v>716</v>
      </c>
      <c r="F442" s="12">
        <f t="shared" si="12"/>
        <v>45897.394960520833</v>
      </c>
      <c r="G442" s="10" t="str">
        <f t="shared" si="13"/>
        <v>09:30:00</v>
      </c>
      <c r="H442" t="str">
        <f>LEFT(SearchData[[#This Row],[userId]],8)</f>
        <v>cf20f9c8</v>
      </c>
    </row>
    <row r="443" spans="1:8">
      <c r="A443" t="s">
        <v>717</v>
      </c>
      <c r="B443" t="s">
        <v>478</v>
      </c>
      <c r="C443" s="5">
        <v>45897.740429861115</v>
      </c>
      <c r="D443">
        <v>6245</v>
      </c>
      <c r="E443" s="3" t="s">
        <v>10</v>
      </c>
      <c r="F443" s="12">
        <f t="shared" si="12"/>
        <v>45897.407096527779</v>
      </c>
      <c r="G443" s="10" t="str">
        <f t="shared" si="13"/>
        <v>09:45:00</v>
      </c>
      <c r="H443" t="str">
        <f>LEFT(SearchData[[#This Row],[userId]],8)</f>
        <v>dd5359fa</v>
      </c>
    </row>
    <row r="444" spans="1:8">
      <c r="A444" t="s">
        <v>718</v>
      </c>
      <c r="B444" t="s">
        <v>611</v>
      </c>
      <c r="C444" s="5">
        <v>45897.750352152776</v>
      </c>
      <c r="D444">
        <v>6247</v>
      </c>
      <c r="E444" s="3" t="s">
        <v>716</v>
      </c>
      <c r="F444" s="12">
        <f t="shared" si="12"/>
        <v>45897.41701881944</v>
      </c>
      <c r="G444" s="10" t="str">
        <f t="shared" si="13"/>
        <v>10:00:00</v>
      </c>
      <c r="H444" t="str">
        <f>LEFT(SearchData[[#This Row],[userId]],8)</f>
        <v>cf20f9c8</v>
      </c>
    </row>
    <row r="445" spans="1:8">
      <c r="A445" t="s">
        <v>719</v>
      </c>
      <c r="B445" t="s">
        <v>192</v>
      </c>
      <c r="C445" s="5">
        <v>45897.793118831018</v>
      </c>
      <c r="D445">
        <v>6247</v>
      </c>
      <c r="E445" s="3" t="s">
        <v>5</v>
      </c>
      <c r="F445" s="12">
        <f t="shared" si="12"/>
        <v>45897.459785497682</v>
      </c>
      <c r="G445" s="10" t="str">
        <f t="shared" si="13"/>
        <v>11:00:00</v>
      </c>
      <c r="H445" t="str">
        <f>LEFT(SearchData[[#This Row],[userId]],8)</f>
        <v>fbfa025f</v>
      </c>
    </row>
    <row r="446" spans="1:8">
      <c r="A446" t="s">
        <v>720</v>
      </c>
      <c r="B446" t="s">
        <v>611</v>
      </c>
      <c r="C446" s="5">
        <v>45897.797268668983</v>
      </c>
      <c r="D446">
        <v>6247</v>
      </c>
      <c r="E446" s="3" t="s">
        <v>716</v>
      </c>
      <c r="F446" s="12">
        <f t="shared" si="12"/>
        <v>45897.463935335647</v>
      </c>
      <c r="G446" s="10" t="str">
        <f t="shared" si="13"/>
        <v>11:15:00</v>
      </c>
      <c r="H446" t="str">
        <f>LEFT(SearchData[[#This Row],[userId]],8)</f>
        <v>cf20f9c8</v>
      </c>
    </row>
    <row r="447" spans="1:8">
      <c r="A447" t="s">
        <v>721</v>
      </c>
      <c r="B447" t="s">
        <v>137</v>
      </c>
      <c r="C447" s="5">
        <v>45897.84517940972</v>
      </c>
      <c r="D447">
        <v>89597</v>
      </c>
      <c r="E447" s="3" t="s">
        <v>13</v>
      </c>
      <c r="F447" s="12">
        <f t="shared" si="12"/>
        <v>45897.511846076384</v>
      </c>
      <c r="G447" s="10" t="str">
        <f t="shared" si="13"/>
        <v>12:15:00</v>
      </c>
      <c r="H447" t="str">
        <f>LEFT(SearchData[[#This Row],[userId]],8)</f>
        <v>fb7d1ae3</v>
      </c>
    </row>
    <row r="448" spans="1:8">
      <c r="A448" t="s">
        <v>722</v>
      </c>
      <c r="B448" t="s">
        <v>611</v>
      </c>
      <c r="C448" s="5">
        <v>45897.981099837962</v>
      </c>
      <c r="D448">
        <v>6247</v>
      </c>
      <c r="E448" s="3" t="s">
        <v>716</v>
      </c>
      <c r="F448" s="12">
        <f t="shared" si="12"/>
        <v>45897.647766504626</v>
      </c>
      <c r="G448" s="10" t="str">
        <f t="shared" si="13"/>
        <v>15:30:00</v>
      </c>
      <c r="H448" t="str">
        <f>LEFT(SearchData[[#This Row],[userId]],8)</f>
        <v>cf20f9c8</v>
      </c>
    </row>
    <row r="449" spans="1:8">
      <c r="A449" t="s">
        <v>723</v>
      </c>
      <c r="B449" t="s">
        <v>611</v>
      </c>
      <c r="C449" s="5">
        <v>45898.005324861108</v>
      </c>
      <c r="D449">
        <v>6247</v>
      </c>
      <c r="E449" s="3" t="s">
        <v>716</v>
      </c>
      <c r="F449" s="12">
        <f t="shared" si="12"/>
        <v>45897.671991527772</v>
      </c>
      <c r="G449" s="10" t="str">
        <f t="shared" si="13"/>
        <v>16:15:00</v>
      </c>
      <c r="H449" t="str">
        <f>LEFT(SearchData[[#This Row],[userId]],8)</f>
        <v>cf20f9c8</v>
      </c>
    </row>
    <row r="450" spans="1:8">
      <c r="A450" t="s">
        <v>724</v>
      </c>
      <c r="B450" t="s">
        <v>656</v>
      </c>
      <c r="C450" s="5">
        <v>45898.523197326387</v>
      </c>
      <c r="D450">
        <v>6247</v>
      </c>
      <c r="E450" s="3" t="s">
        <v>657</v>
      </c>
      <c r="F450" s="12">
        <f t="shared" ref="F450:F513" si="14">C450-TIME(8,0,0)</f>
        <v>45898.189863993051</v>
      </c>
      <c r="G450" s="10" t="str">
        <f t="shared" ref="G450:G513" si="15">TEXT(MROUND(C450-TIME(8,0,0), "0:15"),"HH:MM:SS")</f>
        <v>04:30:00</v>
      </c>
      <c r="H450" t="str">
        <f>LEFT(SearchData[[#This Row],[userId]],8)</f>
        <v>2d4eebd6</v>
      </c>
    </row>
    <row r="451" spans="1:8">
      <c r="A451" t="s">
        <v>725</v>
      </c>
      <c r="B451" t="s">
        <v>137</v>
      </c>
      <c r="C451" s="5">
        <v>45898.789399456022</v>
      </c>
      <c r="D451">
        <v>88161</v>
      </c>
      <c r="E451" s="3" t="s">
        <v>13</v>
      </c>
      <c r="F451" s="12">
        <f t="shared" si="14"/>
        <v>45898.456066122686</v>
      </c>
      <c r="G451" s="10" t="str">
        <f t="shared" si="15"/>
        <v>11:00:00</v>
      </c>
      <c r="H451" t="str">
        <f>LEFT(SearchData[[#This Row],[userId]],8)</f>
        <v>fb7d1ae3</v>
      </c>
    </row>
    <row r="452" spans="1:8">
      <c r="A452" t="s">
        <v>726</v>
      </c>
      <c r="B452" t="s">
        <v>487</v>
      </c>
      <c r="C452" s="5">
        <v>45899.226792048612</v>
      </c>
      <c r="D452">
        <v>88193</v>
      </c>
      <c r="E452" s="3" t="s">
        <v>186</v>
      </c>
      <c r="F452" s="12">
        <f t="shared" si="14"/>
        <v>45898.893458715276</v>
      </c>
      <c r="G452" s="10" t="str">
        <f t="shared" si="15"/>
        <v>21:30:00</v>
      </c>
      <c r="H452" t="str">
        <f>LEFT(SearchData[[#This Row],[userId]],8)</f>
        <v>f676770a</v>
      </c>
    </row>
    <row r="453" spans="1:8">
      <c r="A453" t="s">
        <v>727</v>
      </c>
      <c r="B453" t="s">
        <v>699</v>
      </c>
      <c r="C453" s="5">
        <v>45899.281177939818</v>
      </c>
      <c r="D453">
        <v>6247</v>
      </c>
      <c r="E453" s="3" t="s">
        <v>15</v>
      </c>
      <c r="F453" s="12">
        <f t="shared" si="14"/>
        <v>45898.947844606482</v>
      </c>
      <c r="G453" s="10" t="str">
        <f t="shared" si="15"/>
        <v>22:45:00</v>
      </c>
      <c r="H453" t="str">
        <f>LEFT(SearchData[[#This Row],[userId]],8)</f>
        <v>afc40c1e</v>
      </c>
    </row>
    <row r="454" spans="1:8">
      <c r="A454" t="s">
        <v>728</v>
      </c>
      <c r="B454" t="s">
        <v>699</v>
      </c>
      <c r="C454" s="5">
        <v>45899.345529803242</v>
      </c>
      <c r="D454">
        <v>6247</v>
      </c>
      <c r="E454" s="3" t="s">
        <v>15</v>
      </c>
      <c r="F454" s="12">
        <f t="shared" si="14"/>
        <v>45899.012196469906</v>
      </c>
      <c r="G454" s="10" t="str">
        <f t="shared" si="15"/>
        <v>00:15:00</v>
      </c>
      <c r="H454" t="str">
        <f>LEFT(SearchData[[#This Row],[userId]],8)</f>
        <v>afc40c1e</v>
      </c>
    </row>
    <row r="455" spans="1:8">
      <c r="A455" t="s">
        <v>729</v>
      </c>
      <c r="B455" t="s">
        <v>487</v>
      </c>
      <c r="C455" s="5">
        <v>45899.421691076386</v>
      </c>
      <c r="D455">
        <v>88195</v>
      </c>
      <c r="E455" s="3" t="s">
        <v>493</v>
      </c>
      <c r="F455" s="12">
        <f t="shared" si="14"/>
        <v>45899.08835774305</v>
      </c>
      <c r="G455" s="10" t="str">
        <f t="shared" si="15"/>
        <v>02:00:00</v>
      </c>
      <c r="H455" t="str">
        <f>LEFT(SearchData[[#This Row],[userId]],8)</f>
        <v>f676770a</v>
      </c>
    </row>
    <row r="456" spans="1:8">
      <c r="A456" t="s">
        <v>730</v>
      </c>
      <c r="B456" t="s">
        <v>487</v>
      </c>
      <c r="C456" s="5">
        <v>45899.458560439816</v>
      </c>
      <c r="D456">
        <v>6247</v>
      </c>
      <c r="E456" s="3" t="s">
        <v>493</v>
      </c>
      <c r="F456" s="12">
        <f t="shared" si="14"/>
        <v>45899.12522710648</v>
      </c>
      <c r="G456" s="10" t="str">
        <f t="shared" si="15"/>
        <v>03:00:00</v>
      </c>
      <c r="H456" t="str">
        <f>LEFT(SearchData[[#This Row],[userId]],8)</f>
        <v>f676770a</v>
      </c>
    </row>
    <row r="457" spans="1:8">
      <c r="A457" t="s">
        <v>731</v>
      </c>
      <c r="B457" t="s">
        <v>228</v>
      </c>
      <c r="C457" s="5">
        <v>45899.644371122682</v>
      </c>
      <c r="D457">
        <v>6247</v>
      </c>
      <c r="E457" s="3" t="s">
        <v>250</v>
      </c>
      <c r="F457" s="12">
        <f t="shared" si="14"/>
        <v>45899.311037789346</v>
      </c>
      <c r="G457" s="10" t="str">
        <f t="shared" si="15"/>
        <v>07:30:00</v>
      </c>
      <c r="H457" t="str">
        <f>LEFT(SearchData[[#This Row],[userId]],8)</f>
        <v>865aaa25</v>
      </c>
    </row>
    <row r="458" spans="1:8">
      <c r="A458" t="s">
        <v>732</v>
      </c>
      <c r="B458" t="s">
        <v>228</v>
      </c>
      <c r="C458" s="5">
        <v>45899.785405324074</v>
      </c>
      <c r="D458">
        <v>6247</v>
      </c>
      <c r="E458" s="3" t="s">
        <v>250</v>
      </c>
      <c r="F458" s="12">
        <f t="shared" si="14"/>
        <v>45899.452071990738</v>
      </c>
      <c r="G458" s="10" t="str">
        <f t="shared" si="15"/>
        <v>10:45:00</v>
      </c>
      <c r="H458" t="str">
        <f>LEFT(SearchData[[#This Row],[userId]],8)</f>
        <v>865aaa25</v>
      </c>
    </row>
    <row r="459" spans="1:8">
      <c r="A459" t="s">
        <v>733</v>
      </c>
      <c r="B459" t="s">
        <v>487</v>
      </c>
      <c r="C459" s="5">
        <v>45900.083549571762</v>
      </c>
      <c r="D459">
        <v>6247</v>
      </c>
      <c r="E459" s="3" t="s">
        <v>245</v>
      </c>
      <c r="F459" s="12">
        <f t="shared" si="14"/>
        <v>45899.750216238426</v>
      </c>
      <c r="G459" s="10" t="str">
        <f t="shared" si="15"/>
        <v>18:00:00</v>
      </c>
      <c r="H459" t="str">
        <f>LEFT(SearchData[[#This Row],[userId]],8)</f>
        <v>f676770a</v>
      </c>
    </row>
    <row r="460" spans="1:8">
      <c r="A460" t="s">
        <v>734</v>
      </c>
      <c r="B460" t="s">
        <v>487</v>
      </c>
      <c r="C460" s="5">
        <v>45900.293074872687</v>
      </c>
      <c r="D460">
        <v>6247</v>
      </c>
      <c r="E460" s="3" t="s">
        <v>302</v>
      </c>
      <c r="F460" s="12">
        <f t="shared" si="14"/>
        <v>45899.959741539351</v>
      </c>
      <c r="G460" s="10" t="str">
        <f t="shared" si="15"/>
        <v>23:00:00</v>
      </c>
      <c r="H460" t="str">
        <f>LEFT(SearchData[[#This Row],[userId]],8)</f>
        <v>f676770a</v>
      </c>
    </row>
    <row r="461" spans="1:8">
      <c r="A461" t="s">
        <v>735</v>
      </c>
      <c r="B461" t="s">
        <v>420</v>
      </c>
      <c r="C461" s="5">
        <v>45900.330934826387</v>
      </c>
      <c r="D461">
        <v>6247</v>
      </c>
      <c r="E461" s="3" t="s">
        <v>186</v>
      </c>
      <c r="F461" s="12">
        <f t="shared" si="14"/>
        <v>45899.997601493051</v>
      </c>
      <c r="G461" s="10" t="str">
        <f t="shared" si="15"/>
        <v>00:00:00</v>
      </c>
      <c r="H461" t="str">
        <f>LEFT(SearchData[[#This Row],[userId]],8)</f>
        <v>6d2d86c1</v>
      </c>
    </row>
    <row r="462" spans="1:8">
      <c r="A462" s="1" t="s">
        <v>736</v>
      </c>
      <c r="B462" t="s">
        <v>487</v>
      </c>
      <c r="C462" s="5">
        <v>45900.529194432871</v>
      </c>
      <c r="D462">
        <v>6247</v>
      </c>
      <c r="E462" s="3" t="s">
        <v>302</v>
      </c>
      <c r="F462" s="12">
        <f t="shared" si="14"/>
        <v>45900.195861099535</v>
      </c>
      <c r="G462" s="10" t="str">
        <f t="shared" si="15"/>
        <v>04:45:00</v>
      </c>
      <c r="H462" t="str">
        <f>LEFT(SearchData[[#This Row],[userId]],8)</f>
        <v>f676770a</v>
      </c>
    </row>
    <row r="463" spans="1:8">
      <c r="A463" t="s">
        <v>737</v>
      </c>
      <c r="B463" t="s">
        <v>257</v>
      </c>
      <c r="C463" s="5">
        <v>45900.553980312499</v>
      </c>
      <c r="D463">
        <v>6247</v>
      </c>
      <c r="E463" s="3" t="s">
        <v>195</v>
      </c>
      <c r="F463" s="12">
        <f t="shared" si="14"/>
        <v>45900.220646979164</v>
      </c>
      <c r="G463" s="10" t="str">
        <f t="shared" si="15"/>
        <v>05:15:00</v>
      </c>
      <c r="H463" t="str">
        <f>LEFT(SearchData[[#This Row],[userId]],8)</f>
        <v>60e012f5</v>
      </c>
    </row>
    <row r="464" spans="1:8">
      <c r="A464" t="s">
        <v>738</v>
      </c>
      <c r="B464" t="s">
        <v>228</v>
      </c>
      <c r="C464" s="5">
        <v>45900.590595520836</v>
      </c>
      <c r="D464">
        <v>6247</v>
      </c>
      <c r="E464" s="3" t="s">
        <v>11</v>
      </c>
      <c r="F464" s="12">
        <f t="shared" si="14"/>
        <v>45900.257262187501</v>
      </c>
      <c r="G464" s="10" t="str">
        <f t="shared" si="15"/>
        <v>06:15:00</v>
      </c>
      <c r="H464" t="str">
        <f>LEFT(SearchData[[#This Row],[userId]],8)</f>
        <v>865aaa25</v>
      </c>
    </row>
    <row r="465" spans="1:8">
      <c r="A465" t="s">
        <v>739</v>
      </c>
      <c r="B465" t="s">
        <v>228</v>
      </c>
      <c r="C465" s="5">
        <v>45900.653180381945</v>
      </c>
      <c r="D465">
        <v>6247</v>
      </c>
      <c r="E465" s="3" t="s">
        <v>11</v>
      </c>
      <c r="F465" s="12">
        <f t="shared" si="14"/>
        <v>45900.31984704861</v>
      </c>
      <c r="G465" s="10" t="str">
        <f t="shared" si="15"/>
        <v>07:45:00</v>
      </c>
      <c r="H465" t="str">
        <f>LEFT(SearchData[[#This Row],[userId]],8)</f>
        <v>865aaa25</v>
      </c>
    </row>
    <row r="466" spans="1:8">
      <c r="A466" t="s">
        <v>740</v>
      </c>
      <c r="B466" t="s">
        <v>487</v>
      </c>
      <c r="C466" s="5">
        <v>45900.666464780094</v>
      </c>
      <c r="D466">
        <v>0</v>
      </c>
      <c r="E466" s="3" t="s">
        <v>741</v>
      </c>
      <c r="F466" s="12">
        <f t="shared" si="14"/>
        <v>45900.333131446758</v>
      </c>
      <c r="G466" s="10" t="str">
        <f t="shared" si="15"/>
        <v>08:00:00</v>
      </c>
      <c r="H466" t="str">
        <f>LEFT(SearchData[[#This Row],[userId]],8)</f>
        <v>f676770a</v>
      </c>
    </row>
    <row r="467" spans="1:8">
      <c r="A467" s="1" t="s">
        <v>742</v>
      </c>
      <c r="B467" t="s">
        <v>487</v>
      </c>
      <c r="C467" s="5">
        <v>45900.666758217594</v>
      </c>
      <c r="D467">
        <v>6247</v>
      </c>
      <c r="E467" s="3" t="s">
        <v>741</v>
      </c>
      <c r="F467" s="12">
        <f t="shared" si="14"/>
        <v>45900.333424884258</v>
      </c>
      <c r="G467" s="10" t="str">
        <f t="shared" si="15"/>
        <v>08:00:00</v>
      </c>
      <c r="H467" t="str">
        <f>LEFT(SearchData[[#This Row],[userId]],8)</f>
        <v>f676770a</v>
      </c>
    </row>
    <row r="468" spans="1:8">
      <c r="A468" t="s">
        <v>743</v>
      </c>
      <c r="B468" t="s">
        <v>233</v>
      </c>
      <c r="C468" s="5">
        <v>45900.671848668979</v>
      </c>
      <c r="D468">
        <v>1</v>
      </c>
      <c r="E468" s="3" t="s">
        <v>744</v>
      </c>
      <c r="F468" s="12">
        <f t="shared" si="14"/>
        <v>45900.338515335643</v>
      </c>
      <c r="G468" s="10" t="str">
        <f t="shared" si="15"/>
        <v>08:00:00</v>
      </c>
      <c r="H468" t="str">
        <f>LEFT(SearchData[[#This Row],[userId]],8)</f>
        <v>01b52c2e</v>
      </c>
    </row>
    <row r="469" spans="1:8">
      <c r="A469" t="s">
        <v>745</v>
      </c>
      <c r="B469" t="s">
        <v>228</v>
      </c>
      <c r="C469" s="5">
        <v>45900.81025145833</v>
      </c>
      <c r="D469">
        <v>6247</v>
      </c>
      <c r="E469" s="3" t="s">
        <v>11</v>
      </c>
      <c r="F469" s="12">
        <f t="shared" si="14"/>
        <v>45900.476918124994</v>
      </c>
      <c r="G469" s="10" t="str">
        <f t="shared" si="15"/>
        <v>11:30:00</v>
      </c>
      <c r="H469" t="str">
        <f>LEFT(SearchData[[#This Row],[userId]],8)</f>
        <v>865aaa25</v>
      </c>
    </row>
    <row r="470" spans="1:8">
      <c r="A470" t="s">
        <v>746</v>
      </c>
      <c r="B470" t="s">
        <v>228</v>
      </c>
      <c r="C470" s="5">
        <v>45900.871041493054</v>
      </c>
      <c r="D470">
        <v>6247</v>
      </c>
      <c r="E470" s="3" t="s">
        <v>11</v>
      </c>
      <c r="F470" s="12">
        <f t="shared" si="14"/>
        <v>45900.537708159718</v>
      </c>
      <c r="G470" s="10" t="str">
        <f t="shared" si="15"/>
        <v>13:00:00</v>
      </c>
      <c r="H470" t="str">
        <f>LEFT(SearchData[[#This Row],[userId]],8)</f>
        <v>865aaa25</v>
      </c>
    </row>
    <row r="471" spans="1:8">
      <c r="A471" t="s">
        <v>747</v>
      </c>
      <c r="B471" t="s">
        <v>228</v>
      </c>
      <c r="C471" s="5">
        <v>45900.895039525465</v>
      </c>
      <c r="D471">
        <v>6247</v>
      </c>
      <c r="E471" s="3" t="s">
        <v>11</v>
      </c>
      <c r="F471" s="12">
        <f t="shared" si="14"/>
        <v>45900.561706192129</v>
      </c>
      <c r="G471" s="10" t="str">
        <f t="shared" si="15"/>
        <v>13:30:00</v>
      </c>
      <c r="H471" t="str">
        <f>LEFT(SearchData[[#This Row],[userId]],8)</f>
        <v>865aaa25</v>
      </c>
    </row>
    <row r="472" spans="1:8">
      <c r="A472" t="s">
        <v>748</v>
      </c>
      <c r="B472" t="s">
        <v>487</v>
      </c>
      <c r="C472" s="5">
        <v>45901.637011354163</v>
      </c>
      <c r="D472">
        <v>1</v>
      </c>
      <c r="E472" s="3" t="s">
        <v>15</v>
      </c>
      <c r="F472" s="12">
        <f t="shared" si="14"/>
        <v>45901.303678020828</v>
      </c>
      <c r="G472" s="10" t="str">
        <f t="shared" si="15"/>
        <v>07:15:00</v>
      </c>
      <c r="H472" t="str">
        <f>LEFT(SearchData[[#This Row],[userId]],8)</f>
        <v>f676770a</v>
      </c>
    </row>
    <row r="473" spans="1:8">
      <c r="A473" t="s">
        <v>749</v>
      </c>
      <c r="B473" t="s">
        <v>487</v>
      </c>
      <c r="C473" s="5">
        <v>45901.650773842593</v>
      </c>
      <c r="D473">
        <v>6247</v>
      </c>
      <c r="E473" s="3" t="s">
        <v>302</v>
      </c>
      <c r="F473" s="12">
        <f t="shared" si="14"/>
        <v>45901.317440509258</v>
      </c>
      <c r="G473" s="10" t="str">
        <f t="shared" si="15"/>
        <v>07:30:00</v>
      </c>
      <c r="H473" t="str">
        <f>LEFT(SearchData[[#This Row],[userId]],8)</f>
        <v>f676770a</v>
      </c>
    </row>
    <row r="474" spans="1:8">
      <c r="A474" t="s">
        <v>750</v>
      </c>
      <c r="B474" s="1" t="s">
        <v>614</v>
      </c>
      <c r="C474" s="5">
        <v>45902.059622569446</v>
      </c>
      <c r="D474">
        <v>0</v>
      </c>
      <c r="E474" s="3" t="s">
        <v>245</v>
      </c>
      <c r="F474" s="12">
        <f t="shared" si="14"/>
        <v>45901.72628923611</v>
      </c>
      <c r="G474" s="10" t="str">
        <f t="shared" si="15"/>
        <v>17:30:00</v>
      </c>
      <c r="H474" t="str">
        <f>LEFT(SearchData[[#This Row],[userId]],8)</f>
        <v>154e5978</v>
      </c>
    </row>
    <row r="475" spans="1:8">
      <c r="A475" t="s">
        <v>751</v>
      </c>
      <c r="B475" s="1" t="s">
        <v>614</v>
      </c>
      <c r="C475" s="5">
        <v>45902.060806006943</v>
      </c>
      <c r="D475">
        <v>0</v>
      </c>
      <c r="E475" s="3" t="s">
        <v>186</v>
      </c>
      <c r="F475" s="12">
        <f t="shared" si="14"/>
        <v>45901.727472673607</v>
      </c>
      <c r="G475" s="10" t="str">
        <f t="shared" si="15"/>
        <v>17:30:00</v>
      </c>
      <c r="H475" t="str">
        <f>LEFT(SearchData[[#This Row],[userId]],8)</f>
        <v>154e5978</v>
      </c>
    </row>
    <row r="476" spans="1:8">
      <c r="A476" t="s">
        <v>752</v>
      </c>
      <c r="B476" s="1" t="s">
        <v>614</v>
      </c>
      <c r="C476" s="5">
        <v>45902.136310902781</v>
      </c>
      <c r="D476">
        <v>0</v>
      </c>
      <c r="E476" s="3" t="s">
        <v>245</v>
      </c>
      <c r="F476" s="12">
        <f t="shared" si="14"/>
        <v>45901.802977569445</v>
      </c>
      <c r="G476" s="10" t="str">
        <f t="shared" si="15"/>
        <v>19:15:00</v>
      </c>
      <c r="H476" t="str">
        <f>LEFT(SearchData[[#This Row],[userId]],8)</f>
        <v>154e5978</v>
      </c>
    </row>
    <row r="477" spans="1:8">
      <c r="A477" t="s">
        <v>753</v>
      </c>
      <c r="B477" s="1" t="s">
        <v>614</v>
      </c>
      <c r="C477" s="5">
        <v>45902.137431493058</v>
      </c>
      <c r="D477">
        <v>0</v>
      </c>
      <c r="E477" s="3" t="s">
        <v>182</v>
      </c>
      <c r="F477" s="12">
        <f t="shared" si="14"/>
        <v>45901.804098159722</v>
      </c>
      <c r="G477" s="10" t="str">
        <f t="shared" si="15"/>
        <v>19:15:00</v>
      </c>
      <c r="H477" t="str">
        <f>LEFT(SearchData[[#This Row],[userId]],8)</f>
        <v>154e5978</v>
      </c>
    </row>
    <row r="478" spans="1:8">
      <c r="A478" t="s">
        <v>754</v>
      </c>
      <c r="B478" s="1" t="s">
        <v>614</v>
      </c>
      <c r="C478" s="5">
        <v>45902.138402118057</v>
      </c>
      <c r="D478">
        <v>88262</v>
      </c>
      <c r="E478" s="3" t="s">
        <v>195</v>
      </c>
      <c r="F478" s="12">
        <f t="shared" si="14"/>
        <v>45901.805068784721</v>
      </c>
      <c r="G478" s="10" t="str">
        <f t="shared" si="15"/>
        <v>19:15:00</v>
      </c>
      <c r="H478" t="str">
        <f>LEFT(SearchData[[#This Row],[userId]],8)</f>
        <v>154e5978</v>
      </c>
    </row>
    <row r="479" spans="1:8">
      <c r="A479" t="s">
        <v>755</v>
      </c>
      <c r="B479" t="s">
        <v>487</v>
      </c>
      <c r="C479" s="5">
        <v>45902.209689664349</v>
      </c>
      <c r="D479">
        <v>88262</v>
      </c>
      <c r="E479" s="3" t="s">
        <v>186</v>
      </c>
      <c r="F479" s="12">
        <f t="shared" si="14"/>
        <v>45901.876356331013</v>
      </c>
      <c r="G479" s="10" t="str">
        <f t="shared" si="15"/>
        <v>21:00:00</v>
      </c>
      <c r="H479" t="str">
        <f>LEFT(SearchData[[#This Row],[userId]],8)</f>
        <v>f676770a</v>
      </c>
    </row>
    <row r="480" spans="1:8">
      <c r="A480" t="s">
        <v>756</v>
      </c>
      <c r="B480" t="s">
        <v>487</v>
      </c>
      <c r="C480" s="5">
        <v>45902.372987557872</v>
      </c>
      <c r="D480">
        <v>88262</v>
      </c>
      <c r="E480" s="3" t="s">
        <v>757</v>
      </c>
      <c r="F480" s="12">
        <f t="shared" si="14"/>
        <v>45902.039654224536</v>
      </c>
      <c r="G480" s="10" t="str">
        <f t="shared" si="15"/>
        <v>01:00:00</v>
      </c>
      <c r="H480" t="str">
        <f>LEFT(SearchData[[#This Row],[userId]],8)</f>
        <v>f676770a</v>
      </c>
    </row>
    <row r="481" spans="1:8">
      <c r="A481" s="1" t="s">
        <v>758</v>
      </c>
      <c r="B481" t="s">
        <v>391</v>
      </c>
      <c r="C481" s="5">
        <v>45902.375437291666</v>
      </c>
      <c r="D481">
        <v>88262</v>
      </c>
      <c r="E481" s="3" t="s">
        <v>20</v>
      </c>
      <c r="F481" s="12">
        <f t="shared" si="14"/>
        <v>45902.042103958331</v>
      </c>
      <c r="G481" s="10" t="str">
        <f t="shared" si="15"/>
        <v>01:00:00</v>
      </c>
      <c r="H481" t="str">
        <f>LEFT(SearchData[[#This Row],[userId]],8)</f>
        <v>162b0343</v>
      </c>
    </row>
    <row r="482" spans="1:8">
      <c r="A482" t="s">
        <v>759</v>
      </c>
      <c r="B482" t="s">
        <v>487</v>
      </c>
      <c r="C482" s="5">
        <v>45902.376961192131</v>
      </c>
      <c r="D482">
        <v>88262</v>
      </c>
      <c r="E482" s="3" t="s">
        <v>757</v>
      </c>
      <c r="F482" s="12">
        <f t="shared" si="14"/>
        <v>45902.043627858795</v>
      </c>
      <c r="G482" s="10" t="str">
        <f t="shared" si="15"/>
        <v>01:00:00</v>
      </c>
      <c r="H482" t="str">
        <f>LEFT(SearchData[[#This Row],[userId]],8)</f>
        <v>f676770a</v>
      </c>
    </row>
    <row r="483" spans="1:8">
      <c r="A483" t="s">
        <v>760</v>
      </c>
      <c r="B483" t="s">
        <v>487</v>
      </c>
      <c r="C483" s="5">
        <v>45902.384634050926</v>
      </c>
      <c r="D483">
        <v>6247</v>
      </c>
      <c r="E483" s="3" t="s">
        <v>302</v>
      </c>
      <c r="F483" s="12">
        <f t="shared" si="14"/>
        <v>45902.05130071759</v>
      </c>
      <c r="G483" s="10" t="str">
        <f t="shared" si="15"/>
        <v>01:15:00</v>
      </c>
      <c r="H483" t="str">
        <f>LEFT(SearchData[[#This Row],[userId]],8)</f>
        <v>f676770a</v>
      </c>
    </row>
    <row r="484" spans="1:8">
      <c r="A484" t="s">
        <v>761</v>
      </c>
      <c r="B484" t="s">
        <v>257</v>
      </c>
      <c r="C484" s="5">
        <v>45902.405683842589</v>
      </c>
      <c r="D484">
        <v>6247</v>
      </c>
      <c r="E484" s="3" t="s">
        <v>762</v>
      </c>
      <c r="F484" s="12">
        <f t="shared" si="14"/>
        <v>45902.072350509254</v>
      </c>
      <c r="G484" s="10" t="str">
        <f t="shared" si="15"/>
        <v>01:45:00</v>
      </c>
      <c r="H484" t="str">
        <f>LEFT(SearchData[[#This Row],[userId]],8)</f>
        <v>60e012f5</v>
      </c>
    </row>
    <row r="485" spans="1:8">
      <c r="A485" t="s">
        <v>763</v>
      </c>
      <c r="B485" s="1" t="s">
        <v>614</v>
      </c>
      <c r="C485" s="5">
        <v>45902.411381712962</v>
      </c>
      <c r="D485">
        <v>88262</v>
      </c>
      <c r="E485" s="3" t="s">
        <v>245</v>
      </c>
      <c r="F485" s="12">
        <f t="shared" si="14"/>
        <v>45902.078048379626</v>
      </c>
      <c r="G485" s="10" t="str">
        <f t="shared" si="15"/>
        <v>01:45:00</v>
      </c>
      <c r="H485" t="str">
        <f>LEFT(SearchData[[#This Row],[userId]],8)</f>
        <v>154e5978</v>
      </c>
    </row>
    <row r="486" spans="1:8">
      <c r="A486" t="s">
        <v>764</v>
      </c>
      <c r="B486" s="1" t="s">
        <v>614</v>
      </c>
      <c r="C486" s="5">
        <v>45902.412556585645</v>
      </c>
      <c r="D486">
        <v>88262</v>
      </c>
      <c r="E486" s="3" t="s">
        <v>195</v>
      </c>
      <c r="F486" s="12">
        <f t="shared" si="14"/>
        <v>45902.079223252309</v>
      </c>
      <c r="G486" s="10" t="str">
        <f t="shared" si="15"/>
        <v>02:00:00</v>
      </c>
      <c r="H486" t="str">
        <f>LEFT(SearchData[[#This Row],[userId]],8)</f>
        <v>154e5978</v>
      </c>
    </row>
    <row r="487" spans="1:8">
      <c r="A487" t="s">
        <v>765</v>
      </c>
      <c r="B487" t="s">
        <v>257</v>
      </c>
      <c r="C487" s="5">
        <v>45902.457477708333</v>
      </c>
      <c r="D487">
        <v>6247</v>
      </c>
      <c r="E487" s="3" t="s">
        <v>762</v>
      </c>
      <c r="F487" s="12">
        <f t="shared" si="14"/>
        <v>45902.124144374997</v>
      </c>
      <c r="G487" s="10" t="str">
        <f t="shared" si="15"/>
        <v>03:00:00</v>
      </c>
      <c r="H487" t="str">
        <f>LEFT(SearchData[[#This Row],[userId]],8)</f>
        <v>60e012f5</v>
      </c>
    </row>
    <row r="488" spans="1:8">
      <c r="A488" t="s">
        <v>766</v>
      </c>
      <c r="B488" t="s">
        <v>487</v>
      </c>
      <c r="C488" s="5">
        <v>45902.545165868054</v>
      </c>
      <c r="D488">
        <v>6249</v>
      </c>
      <c r="E488" s="3" t="s">
        <v>302</v>
      </c>
      <c r="F488" s="12">
        <f t="shared" si="14"/>
        <v>45902.211832534718</v>
      </c>
      <c r="G488" s="10" t="str">
        <f t="shared" si="15"/>
        <v>05:00:00</v>
      </c>
      <c r="H488" t="str">
        <f>LEFT(SearchData[[#This Row],[userId]],8)</f>
        <v>f676770a</v>
      </c>
    </row>
    <row r="489" spans="1:8">
      <c r="A489" t="s">
        <v>767</v>
      </c>
      <c r="B489" t="s">
        <v>137</v>
      </c>
      <c r="C489" s="5">
        <v>45902.65979996528</v>
      </c>
      <c r="D489">
        <v>160</v>
      </c>
      <c r="E489" s="3" t="s">
        <v>14</v>
      </c>
      <c r="F489" s="12">
        <f t="shared" si="14"/>
        <v>45902.326466631945</v>
      </c>
      <c r="G489" s="10" t="str">
        <f t="shared" si="15"/>
        <v>07:45:00</v>
      </c>
      <c r="H489" t="str">
        <f>LEFT(SearchData[[#This Row],[userId]],8)</f>
        <v>fb7d1ae3</v>
      </c>
    </row>
    <row r="490" spans="1:8">
      <c r="A490" t="s">
        <v>768</v>
      </c>
      <c r="B490" t="s">
        <v>137</v>
      </c>
      <c r="C490" s="5">
        <v>45902.674017534722</v>
      </c>
      <c r="D490">
        <v>6249</v>
      </c>
      <c r="E490" s="3" t="s">
        <v>14</v>
      </c>
      <c r="F490" s="12">
        <f t="shared" si="14"/>
        <v>45902.340684201386</v>
      </c>
      <c r="G490" s="10" t="str">
        <f t="shared" si="15"/>
        <v>08:15:00</v>
      </c>
      <c r="H490" t="str">
        <f>LEFT(SearchData[[#This Row],[userId]],8)</f>
        <v>fb7d1ae3</v>
      </c>
    </row>
    <row r="491" spans="1:8">
      <c r="A491" t="s">
        <v>769</v>
      </c>
      <c r="B491" t="s">
        <v>137</v>
      </c>
      <c r="C491" s="5">
        <v>45902.721929618056</v>
      </c>
      <c r="D491">
        <v>88279</v>
      </c>
      <c r="E491" s="3" t="s">
        <v>13</v>
      </c>
      <c r="F491" s="12">
        <f t="shared" si="14"/>
        <v>45902.38859628472</v>
      </c>
      <c r="G491" s="10" t="str">
        <f t="shared" si="15"/>
        <v>09:15:00</v>
      </c>
      <c r="H491" t="str">
        <f>LEFT(SearchData[[#This Row],[userId]],8)</f>
        <v>fb7d1ae3</v>
      </c>
    </row>
    <row r="492" spans="1:8">
      <c r="A492" t="s">
        <v>770</v>
      </c>
      <c r="B492" t="s">
        <v>137</v>
      </c>
      <c r="C492" s="5">
        <v>45902.72590109954</v>
      </c>
      <c r="D492">
        <v>203</v>
      </c>
      <c r="E492" s="3" t="s">
        <v>14</v>
      </c>
      <c r="F492" s="12">
        <f t="shared" si="14"/>
        <v>45902.392567766205</v>
      </c>
      <c r="G492" s="10" t="str">
        <f t="shared" si="15"/>
        <v>09:30:00</v>
      </c>
      <c r="H492" t="str">
        <f>LEFT(SearchData[[#This Row],[userId]],8)</f>
        <v>fb7d1ae3</v>
      </c>
    </row>
    <row r="493" spans="1:8">
      <c r="A493" t="s">
        <v>771</v>
      </c>
      <c r="B493" t="s">
        <v>137</v>
      </c>
      <c r="C493" s="5">
        <v>45902.756598564818</v>
      </c>
      <c r="D493">
        <v>203</v>
      </c>
      <c r="E493" s="3" t="s">
        <v>14</v>
      </c>
      <c r="F493" s="12">
        <f t="shared" si="14"/>
        <v>45902.423265231482</v>
      </c>
      <c r="G493" s="10" t="str">
        <f t="shared" si="15"/>
        <v>10:15:00</v>
      </c>
      <c r="H493" t="str">
        <f>LEFT(SearchData[[#This Row],[userId]],8)</f>
        <v>fb7d1ae3</v>
      </c>
    </row>
    <row r="494" spans="1:8">
      <c r="A494" t="s">
        <v>772</v>
      </c>
      <c r="B494" t="s">
        <v>611</v>
      </c>
      <c r="C494" s="5">
        <v>45902.882087824073</v>
      </c>
      <c r="D494">
        <v>6249</v>
      </c>
      <c r="E494" s="3" t="s">
        <v>773</v>
      </c>
      <c r="F494" s="12">
        <f t="shared" si="14"/>
        <v>45902.548754490737</v>
      </c>
      <c r="G494" s="10" t="str">
        <f t="shared" si="15"/>
        <v>13:15:00</v>
      </c>
      <c r="H494" t="str">
        <f>LEFT(SearchData[[#This Row],[userId]],8)</f>
        <v>cf20f9c8</v>
      </c>
    </row>
    <row r="495" spans="1:8">
      <c r="A495" t="s">
        <v>774</v>
      </c>
      <c r="B495" t="s">
        <v>611</v>
      </c>
      <c r="C495" s="5">
        <v>45903.001695347222</v>
      </c>
      <c r="D495">
        <v>6249</v>
      </c>
      <c r="E495" s="3" t="s">
        <v>773</v>
      </c>
      <c r="F495" s="12">
        <f t="shared" si="14"/>
        <v>45902.668362013887</v>
      </c>
      <c r="G495" s="10" t="str">
        <f t="shared" si="15"/>
        <v>16:00:00</v>
      </c>
      <c r="H495" t="str">
        <f>LEFT(SearchData[[#This Row],[userId]],8)</f>
        <v>cf20f9c8</v>
      </c>
    </row>
    <row r="496" spans="1:8">
      <c r="A496" t="s">
        <v>775</v>
      </c>
      <c r="B496" t="s">
        <v>391</v>
      </c>
      <c r="C496" s="5">
        <v>45903.116505613427</v>
      </c>
      <c r="D496">
        <v>88337</v>
      </c>
      <c r="E496" s="3" t="s">
        <v>776</v>
      </c>
      <c r="F496" s="12">
        <f t="shared" si="14"/>
        <v>45902.783172280091</v>
      </c>
      <c r="G496" s="10" t="str">
        <f t="shared" si="15"/>
        <v>18:45:00</v>
      </c>
      <c r="H496" t="str">
        <f>LEFT(SearchData[[#This Row],[userId]],8)</f>
        <v>162b0343</v>
      </c>
    </row>
    <row r="497" spans="1:8">
      <c r="A497" t="s">
        <v>777</v>
      </c>
      <c r="B497" s="1" t="s">
        <v>614</v>
      </c>
      <c r="C497" s="5">
        <v>45903.118770092595</v>
      </c>
      <c r="D497">
        <v>88337</v>
      </c>
      <c r="E497" s="3" t="s">
        <v>493</v>
      </c>
      <c r="F497" s="12">
        <f t="shared" si="14"/>
        <v>45902.785436759259</v>
      </c>
      <c r="G497" s="10" t="str">
        <f t="shared" si="15"/>
        <v>18:45:00</v>
      </c>
      <c r="H497" t="str">
        <f>LEFT(SearchData[[#This Row],[userId]],8)</f>
        <v>154e5978</v>
      </c>
    </row>
    <row r="498" spans="1:8">
      <c r="A498" t="s">
        <v>778</v>
      </c>
      <c r="B498" s="1" t="s">
        <v>614</v>
      </c>
      <c r="C498" s="5">
        <v>45903.127157222225</v>
      </c>
      <c r="D498">
        <v>88337</v>
      </c>
      <c r="E498" s="3" t="s">
        <v>493</v>
      </c>
      <c r="F498" s="12">
        <f t="shared" si="14"/>
        <v>45902.793823888889</v>
      </c>
      <c r="G498" s="10" t="str">
        <f t="shared" si="15"/>
        <v>19:00:00</v>
      </c>
      <c r="H498" t="str">
        <f>LEFT(SearchData[[#This Row],[userId]],8)</f>
        <v>154e5978</v>
      </c>
    </row>
    <row r="499" spans="1:8">
      <c r="A499" t="s">
        <v>779</v>
      </c>
      <c r="B499" t="s">
        <v>391</v>
      </c>
      <c r="C499" s="5">
        <v>45903.156822766206</v>
      </c>
      <c r="D499">
        <v>88337</v>
      </c>
      <c r="E499" s="3" t="s">
        <v>776</v>
      </c>
      <c r="F499" s="12">
        <f t="shared" si="14"/>
        <v>45902.823489432871</v>
      </c>
      <c r="G499" s="10" t="str">
        <f t="shared" si="15"/>
        <v>19:45:00</v>
      </c>
      <c r="H499" t="str">
        <f>LEFT(SearchData[[#This Row],[userId]],8)</f>
        <v>162b0343</v>
      </c>
    </row>
    <row r="500" spans="1:8">
      <c r="A500" t="s">
        <v>780</v>
      </c>
      <c r="B500" s="1" t="s">
        <v>614</v>
      </c>
      <c r="C500" s="5">
        <v>45903.199084525462</v>
      </c>
      <c r="D500">
        <v>88337</v>
      </c>
      <c r="E500" s="3" t="s">
        <v>493</v>
      </c>
      <c r="F500" s="12">
        <f t="shared" si="14"/>
        <v>45902.865751192126</v>
      </c>
      <c r="G500" s="10" t="str">
        <f t="shared" si="15"/>
        <v>20:45:00</v>
      </c>
      <c r="H500" t="str">
        <f>LEFT(SearchData[[#This Row],[userId]],8)</f>
        <v>154e5978</v>
      </c>
    </row>
    <row r="501" spans="1:8">
      <c r="A501" t="s">
        <v>781</v>
      </c>
      <c r="B501" t="s">
        <v>391</v>
      </c>
      <c r="C501" s="5">
        <v>45903.201332858793</v>
      </c>
      <c r="D501">
        <v>88337</v>
      </c>
      <c r="E501" s="3" t="s">
        <v>776</v>
      </c>
      <c r="F501" s="12">
        <f t="shared" si="14"/>
        <v>45902.867999525457</v>
      </c>
      <c r="G501" s="10" t="str">
        <f t="shared" si="15"/>
        <v>20:45:00</v>
      </c>
      <c r="H501" t="str">
        <f>LEFT(SearchData[[#This Row],[userId]],8)</f>
        <v>162b0343</v>
      </c>
    </row>
    <row r="502" spans="1:8">
      <c r="A502" t="s">
        <v>782</v>
      </c>
      <c r="B502" t="s">
        <v>391</v>
      </c>
      <c r="C502" s="5">
        <v>45903.209702708336</v>
      </c>
      <c r="D502">
        <v>88337</v>
      </c>
      <c r="E502" s="3" t="s">
        <v>776</v>
      </c>
      <c r="F502" s="12">
        <f t="shared" si="14"/>
        <v>45902.876369375001</v>
      </c>
      <c r="G502" s="10" t="str">
        <f t="shared" si="15"/>
        <v>21:00:00</v>
      </c>
      <c r="H502" t="str">
        <f>LEFT(SearchData[[#This Row],[userId]],8)</f>
        <v>162b0343</v>
      </c>
    </row>
    <row r="503" spans="1:8">
      <c r="A503" t="s">
        <v>783</v>
      </c>
      <c r="B503" s="1" t="s">
        <v>614</v>
      </c>
      <c r="C503" s="5">
        <v>45903.224530208332</v>
      </c>
      <c r="D503">
        <v>88337</v>
      </c>
      <c r="E503" s="3" t="s">
        <v>493</v>
      </c>
      <c r="F503" s="12">
        <f t="shared" si="14"/>
        <v>45902.891196874996</v>
      </c>
      <c r="G503" s="10" t="str">
        <f t="shared" si="15"/>
        <v>21:30:00</v>
      </c>
      <c r="H503" t="str">
        <f>LEFT(SearchData[[#This Row],[userId]],8)</f>
        <v>154e5978</v>
      </c>
    </row>
    <row r="504" spans="1:8">
      <c r="A504" t="s">
        <v>784</v>
      </c>
      <c r="B504" s="1" t="s">
        <v>614</v>
      </c>
      <c r="C504" s="5">
        <v>45903.262621909722</v>
      </c>
      <c r="D504">
        <v>88337</v>
      </c>
      <c r="E504" s="3" t="s">
        <v>493</v>
      </c>
      <c r="F504" s="12">
        <f t="shared" si="14"/>
        <v>45902.929288576386</v>
      </c>
      <c r="G504" s="10" t="str">
        <f t="shared" si="15"/>
        <v>22:15:00</v>
      </c>
      <c r="H504" t="str">
        <f>LEFT(SearchData[[#This Row],[userId]],8)</f>
        <v>154e5978</v>
      </c>
    </row>
    <row r="505" spans="1:8">
      <c r="A505" t="s">
        <v>785</v>
      </c>
      <c r="B505" t="s">
        <v>611</v>
      </c>
      <c r="C505" s="5">
        <v>45903.762098067127</v>
      </c>
      <c r="D505">
        <v>6253</v>
      </c>
      <c r="E505" s="3" t="s">
        <v>786</v>
      </c>
      <c r="F505" s="12">
        <f t="shared" si="14"/>
        <v>45903.428764733791</v>
      </c>
      <c r="G505" s="10" t="str">
        <f t="shared" si="15"/>
        <v>10:15:00</v>
      </c>
      <c r="H505" t="str">
        <f>LEFT(SearchData[[#This Row],[userId]],8)</f>
        <v>cf20f9c8</v>
      </c>
    </row>
    <row r="506" spans="1:8">
      <c r="A506" t="s">
        <v>787</v>
      </c>
      <c r="B506" t="s">
        <v>611</v>
      </c>
      <c r="C506" s="5">
        <v>45903.788931319446</v>
      </c>
      <c r="D506">
        <v>6253</v>
      </c>
      <c r="E506" s="3" t="s">
        <v>10</v>
      </c>
      <c r="F506" s="12">
        <f t="shared" si="14"/>
        <v>45903.455597986111</v>
      </c>
      <c r="G506" s="10" t="str">
        <f t="shared" si="15"/>
        <v>11:00:00</v>
      </c>
      <c r="H506" t="str">
        <f>LEFT(SearchData[[#This Row],[userId]],8)</f>
        <v>cf20f9c8</v>
      </c>
    </row>
    <row r="507" spans="1:8">
      <c r="A507" t="s">
        <v>788</v>
      </c>
      <c r="B507" t="s">
        <v>611</v>
      </c>
      <c r="C507" s="5">
        <v>45903.818587118054</v>
      </c>
      <c r="D507">
        <v>6253</v>
      </c>
      <c r="E507" s="3" t="s">
        <v>10</v>
      </c>
      <c r="F507" s="12">
        <f t="shared" si="14"/>
        <v>45903.485253784718</v>
      </c>
      <c r="G507" s="10" t="str">
        <f t="shared" si="15"/>
        <v>11:45:00</v>
      </c>
      <c r="H507" t="str">
        <f>LEFT(SearchData[[#This Row],[userId]],8)</f>
        <v>cf20f9c8</v>
      </c>
    </row>
    <row r="508" spans="1:8">
      <c r="A508" t="s">
        <v>789</v>
      </c>
      <c r="B508" t="s">
        <v>137</v>
      </c>
      <c r="C508" s="5">
        <v>45903.97289863426</v>
      </c>
      <c r="D508">
        <v>88590</v>
      </c>
      <c r="E508" s="3" t="s">
        <v>13</v>
      </c>
      <c r="F508" s="12">
        <f t="shared" si="14"/>
        <v>45903.639565300924</v>
      </c>
      <c r="G508" s="10" t="str">
        <f t="shared" si="15"/>
        <v>15:15:00</v>
      </c>
      <c r="H508" t="str">
        <f>LEFT(SearchData[[#This Row],[userId]],8)</f>
        <v>fb7d1ae3</v>
      </c>
    </row>
    <row r="509" spans="1:8">
      <c r="A509" t="s">
        <v>790</v>
      </c>
      <c r="B509" t="s">
        <v>281</v>
      </c>
      <c r="C509" s="5">
        <v>45903.97308210648</v>
      </c>
      <c r="D509">
        <v>6253</v>
      </c>
      <c r="E509" s="3" t="s">
        <v>186</v>
      </c>
      <c r="F509" s="12">
        <f t="shared" si="14"/>
        <v>45903.639748773145</v>
      </c>
      <c r="G509" s="10" t="str">
        <f t="shared" si="15"/>
        <v>15:15:00</v>
      </c>
      <c r="H509" t="str">
        <f>LEFT(SearchData[[#This Row],[userId]],8)</f>
        <v>fc8596ff</v>
      </c>
    </row>
    <row r="510" spans="1:8">
      <c r="A510" t="s">
        <v>791</v>
      </c>
      <c r="B510" t="s">
        <v>391</v>
      </c>
      <c r="C510" s="5">
        <v>45903.9733528125</v>
      </c>
      <c r="D510">
        <v>88592</v>
      </c>
      <c r="E510" s="3" t="s">
        <v>776</v>
      </c>
      <c r="F510" s="12">
        <f t="shared" si="14"/>
        <v>45903.640019479164</v>
      </c>
      <c r="G510" s="10" t="str">
        <f t="shared" si="15"/>
        <v>15:15:00</v>
      </c>
      <c r="H510" t="str">
        <f>LEFT(SearchData[[#This Row],[userId]],8)</f>
        <v>162b0343</v>
      </c>
    </row>
    <row r="511" spans="1:8">
      <c r="A511" t="s">
        <v>792</v>
      </c>
      <c r="B511" t="s">
        <v>611</v>
      </c>
      <c r="C511" s="5">
        <v>45903.984577974537</v>
      </c>
      <c r="D511">
        <v>6253</v>
      </c>
      <c r="E511" s="3" t="s">
        <v>10</v>
      </c>
      <c r="F511" s="12">
        <f t="shared" si="14"/>
        <v>45903.651244641202</v>
      </c>
      <c r="G511" s="10" t="str">
        <f t="shared" si="15"/>
        <v>15:45:00</v>
      </c>
      <c r="H511" t="str">
        <f>LEFT(SearchData[[#This Row],[userId]],8)</f>
        <v>cf20f9c8</v>
      </c>
    </row>
    <row r="512" spans="1:8">
      <c r="A512" t="s">
        <v>793</v>
      </c>
      <c r="B512" t="s">
        <v>611</v>
      </c>
      <c r="C512" s="5">
        <v>45903.987543136573</v>
      </c>
      <c r="D512">
        <v>6253</v>
      </c>
      <c r="E512" s="3" t="s">
        <v>794</v>
      </c>
      <c r="F512" s="12">
        <f t="shared" si="14"/>
        <v>45903.654209803237</v>
      </c>
      <c r="G512" s="10" t="str">
        <f t="shared" si="15"/>
        <v>15:45:00</v>
      </c>
      <c r="H512" t="str">
        <f>LEFT(SearchData[[#This Row],[userId]],8)</f>
        <v>cf20f9c8</v>
      </c>
    </row>
    <row r="513" spans="1:8">
      <c r="A513" t="s">
        <v>795</v>
      </c>
      <c r="B513" t="s">
        <v>391</v>
      </c>
      <c r="C513" s="5">
        <v>45904.006255081018</v>
      </c>
      <c r="D513">
        <v>88592</v>
      </c>
      <c r="E513" s="3" t="s">
        <v>776</v>
      </c>
      <c r="F513" s="12">
        <f t="shared" si="14"/>
        <v>45903.672921747682</v>
      </c>
      <c r="G513" s="10" t="str">
        <f t="shared" si="15"/>
        <v>16:15:00</v>
      </c>
      <c r="H513" t="str">
        <f>LEFT(SearchData[[#This Row],[userId]],8)</f>
        <v>162b0343</v>
      </c>
    </row>
    <row r="514" spans="1:8">
      <c r="A514" t="s">
        <v>796</v>
      </c>
      <c r="B514" t="s">
        <v>281</v>
      </c>
      <c r="C514" s="5">
        <v>45904.022218761573</v>
      </c>
      <c r="D514">
        <v>6253</v>
      </c>
      <c r="E514" s="3" t="s">
        <v>186</v>
      </c>
      <c r="F514" s="12">
        <f t="shared" ref="F514:F577" si="16">C514-TIME(8,0,0)</f>
        <v>45903.688885428237</v>
      </c>
      <c r="G514" s="10" t="str">
        <f t="shared" ref="G514:G577" si="17">TEXT(MROUND(C514-TIME(8,0,0), "0:15"),"HH:MM:SS")</f>
        <v>16:30:00</v>
      </c>
      <c r="H514" t="str">
        <f>LEFT(SearchData[[#This Row],[userId]],8)</f>
        <v>fc8596ff</v>
      </c>
    </row>
    <row r="515" spans="1:8">
      <c r="A515" t="s">
        <v>797</v>
      </c>
      <c r="B515" t="s">
        <v>611</v>
      </c>
      <c r="C515" s="5">
        <v>45904.047954062502</v>
      </c>
      <c r="D515">
        <v>6253</v>
      </c>
      <c r="E515" s="3" t="s">
        <v>794</v>
      </c>
      <c r="F515" s="12">
        <f t="shared" si="16"/>
        <v>45903.714620729166</v>
      </c>
      <c r="G515" s="10" t="str">
        <f t="shared" si="17"/>
        <v>17:15:00</v>
      </c>
      <c r="H515" t="str">
        <f>LEFT(SearchData[[#This Row],[userId]],8)</f>
        <v>cf20f9c8</v>
      </c>
    </row>
    <row r="516" spans="1:8">
      <c r="A516" s="1" t="s">
        <v>798</v>
      </c>
      <c r="B516" t="s">
        <v>611</v>
      </c>
      <c r="C516" s="5">
        <v>45904.048330787038</v>
      </c>
      <c r="D516">
        <v>6253</v>
      </c>
      <c r="E516" s="3" t="s">
        <v>10</v>
      </c>
      <c r="F516" s="12">
        <f t="shared" si="16"/>
        <v>45903.714997453702</v>
      </c>
      <c r="G516" s="10" t="str">
        <f t="shared" si="17"/>
        <v>17:15:00</v>
      </c>
      <c r="H516" t="str">
        <f>LEFT(SearchData[[#This Row],[userId]],8)</f>
        <v>cf20f9c8</v>
      </c>
    </row>
    <row r="517" spans="1:8">
      <c r="A517" t="s">
        <v>799</v>
      </c>
      <c r="B517" t="s">
        <v>611</v>
      </c>
      <c r="C517" s="5">
        <v>45904.105327407407</v>
      </c>
      <c r="D517">
        <v>6253</v>
      </c>
      <c r="E517" s="3" t="s">
        <v>10</v>
      </c>
      <c r="F517" s="12">
        <f t="shared" si="16"/>
        <v>45903.771994074072</v>
      </c>
      <c r="G517" s="10" t="str">
        <f t="shared" si="17"/>
        <v>18:30:00</v>
      </c>
      <c r="H517" t="str">
        <f>LEFT(SearchData[[#This Row],[userId]],8)</f>
        <v>cf20f9c8</v>
      </c>
    </row>
    <row r="518" spans="1:8">
      <c r="A518" t="s">
        <v>800</v>
      </c>
      <c r="B518" t="s">
        <v>611</v>
      </c>
      <c r="C518" s="5">
        <v>45904.139776643518</v>
      </c>
      <c r="D518">
        <v>6253</v>
      </c>
      <c r="E518" s="3" t="s">
        <v>794</v>
      </c>
      <c r="F518" s="12">
        <f t="shared" si="16"/>
        <v>45903.806443310183</v>
      </c>
      <c r="G518" s="10" t="str">
        <f t="shared" si="17"/>
        <v>19:15:00</v>
      </c>
      <c r="H518" t="str">
        <f>LEFT(SearchData[[#This Row],[userId]],8)</f>
        <v>cf20f9c8</v>
      </c>
    </row>
    <row r="519" spans="1:8">
      <c r="A519" t="s">
        <v>801</v>
      </c>
      <c r="B519" t="s">
        <v>611</v>
      </c>
      <c r="C519" s="5">
        <v>45904.140771886574</v>
      </c>
      <c r="D519">
        <v>6253</v>
      </c>
      <c r="E519" s="3" t="s">
        <v>10</v>
      </c>
      <c r="F519" s="12">
        <f t="shared" si="16"/>
        <v>45903.807438553238</v>
      </c>
      <c r="G519" s="10" t="str">
        <f t="shared" si="17"/>
        <v>19:30:00</v>
      </c>
      <c r="H519" t="str">
        <f>LEFT(SearchData[[#This Row],[userId]],8)</f>
        <v>cf20f9c8</v>
      </c>
    </row>
    <row r="520" spans="1:8">
      <c r="A520" t="s">
        <v>802</v>
      </c>
      <c r="B520" t="s">
        <v>281</v>
      </c>
      <c r="C520" s="5">
        <v>45904.170335266201</v>
      </c>
      <c r="D520">
        <v>6253</v>
      </c>
      <c r="E520" s="3" t="s">
        <v>186</v>
      </c>
      <c r="F520" s="12">
        <f t="shared" si="16"/>
        <v>45903.837001932865</v>
      </c>
      <c r="G520" s="10" t="str">
        <f t="shared" si="17"/>
        <v>20:00:00</v>
      </c>
      <c r="H520" t="str">
        <f>LEFT(SearchData[[#This Row],[userId]],8)</f>
        <v>fc8596ff</v>
      </c>
    </row>
    <row r="521" spans="1:8">
      <c r="A521" t="s">
        <v>803</v>
      </c>
      <c r="B521" t="s">
        <v>611</v>
      </c>
      <c r="C521" s="5">
        <v>45904.201095416669</v>
      </c>
      <c r="D521">
        <v>6253</v>
      </c>
      <c r="E521" s="3" t="s">
        <v>10</v>
      </c>
      <c r="F521" s="12">
        <f t="shared" si="16"/>
        <v>45903.867762083333</v>
      </c>
      <c r="G521" s="10" t="str">
        <f t="shared" si="17"/>
        <v>20:45:00</v>
      </c>
      <c r="H521" t="str">
        <f>LEFT(SearchData[[#This Row],[userId]],8)</f>
        <v>cf20f9c8</v>
      </c>
    </row>
    <row r="522" spans="1:8">
      <c r="A522" t="s">
        <v>804</v>
      </c>
      <c r="B522" t="s">
        <v>281</v>
      </c>
      <c r="C522" s="5">
        <v>45904.202663032411</v>
      </c>
      <c r="D522">
        <v>6253</v>
      </c>
      <c r="E522" s="3" t="s">
        <v>15</v>
      </c>
      <c r="F522" s="12">
        <f t="shared" si="16"/>
        <v>45903.869329699075</v>
      </c>
      <c r="G522" s="10" t="str">
        <f t="shared" si="17"/>
        <v>20:45:00</v>
      </c>
      <c r="H522" t="str">
        <f>LEFT(SearchData[[#This Row],[userId]],8)</f>
        <v>fc8596ff</v>
      </c>
    </row>
    <row r="523" spans="1:8">
      <c r="A523" t="s">
        <v>805</v>
      </c>
      <c r="B523" t="s">
        <v>611</v>
      </c>
      <c r="C523" s="5">
        <v>45904.233032430559</v>
      </c>
      <c r="D523">
        <v>6253</v>
      </c>
      <c r="E523" s="3" t="s">
        <v>10</v>
      </c>
      <c r="F523" s="12">
        <f t="shared" si="16"/>
        <v>45903.899699097223</v>
      </c>
      <c r="G523" s="10" t="str">
        <f t="shared" si="17"/>
        <v>21:30:00</v>
      </c>
      <c r="H523" t="str">
        <f>LEFT(SearchData[[#This Row],[userId]],8)</f>
        <v>cf20f9c8</v>
      </c>
    </row>
    <row r="524" spans="1:8">
      <c r="A524" t="s">
        <v>806</v>
      </c>
      <c r="B524" t="s">
        <v>611</v>
      </c>
      <c r="C524" s="5">
        <v>45904.233794629632</v>
      </c>
      <c r="D524">
        <v>6253</v>
      </c>
      <c r="E524" s="3" t="s">
        <v>794</v>
      </c>
      <c r="F524" s="12">
        <f t="shared" si="16"/>
        <v>45903.900461296296</v>
      </c>
      <c r="G524" s="10" t="str">
        <f t="shared" si="17"/>
        <v>21:30:00</v>
      </c>
      <c r="H524" t="str">
        <f>LEFT(SearchData[[#This Row],[userId]],8)</f>
        <v>cf20f9c8</v>
      </c>
    </row>
    <row r="525" spans="1:8">
      <c r="A525" t="s">
        <v>807</v>
      </c>
      <c r="B525" t="s">
        <v>281</v>
      </c>
      <c r="C525" s="5">
        <v>45904.233935312499</v>
      </c>
      <c r="D525">
        <v>6253</v>
      </c>
      <c r="E525" s="3" t="s">
        <v>808</v>
      </c>
      <c r="F525" s="12">
        <f t="shared" si="16"/>
        <v>45903.900601979163</v>
      </c>
      <c r="G525" s="10" t="str">
        <f t="shared" si="17"/>
        <v>21:30:00</v>
      </c>
      <c r="H525" t="str">
        <f>LEFT(SearchData[[#This Row],[userId]],8)</f>
        <v>fc8596ff</v>
      </c>
    </row>
    <row r="526" spans="1:8">
      <c r="A526" t="s">
        <v>809</v>
      </c>
      <c r="B526" t="s">
        <v>611</v>
      </c>
      <c r="C526" s="5">
        <v>45904.269214097221</v>
      </c>
      <c r="D526">
        <v>6253</v>
      </c>
      <c r="E526" s="3" t="s">
        <v>794</v>
      </c>
      <c r="F526" s="12">
        <f t="shared" si="16"/>
        <v>45903.935880763886</v>
      </c>
      <c r="G526" s="10" t="str">
        <f t="shared" si="17"/>
        <v>22:30:00</v>
      </c>
      <c r="H526" t="str">
        <f>LEFT(SearchData[[#This Row],[userId]],8)</f>
        <v>cf20f9c8</v>
      </c>
    </row>
    <row r="527" spans="1:8">
      <c r="A527" t="s">
        <v>810</v>
      </c>
      <c r="B527" t="s">
        <v>611</v>
      </c>
      <c r="C527" s="5">
        <v>45904.63075434028</v>
      </c>
      <c r="D527">
        <v>6253</v>
      </c>
      <c r="E527" s="3" t="s">
        <v>10</v>
      </c>
      <c r="F527" s="12">
        <f t="shared" si="16"/>
        <v>45904.297421006944</v>
      </c>
      <c r="G527" s="10" t="str">
        <f t="shared" si="17"/>
        <v>07:15:00</v>
      </c>
      <c r="H527" t="str">
        <f>LEFT(SearchData[[#This Row],[userId]],8)</f>
        <v>cf20f9c8</v>
      </c>
    </row>
    <row r="528" spans="1:8">
      <c r="A528" t="s">
        <v>811</v>
      </c>
      <c r="B528" t="s">
        <v>527</v>
      </c>
      <c r="C528" s="5">
        <v>45904.664620057869</v>
      </c>
      <c r="D528">
        <v>6253</v>
      </c>
      <c r="E528" s="3" t="s">
        <v>812</v>
      </c>
      <c r="F528" s="12">
        <f t="shared" si="16"/>
        <v>45904.331286724533</v>
      </c>
      <c r="G528" s="10" t="str">
        <f t="shared" si="17"/>
        <v>08:00:00</v>
      </c>
      <c r="H528" t="str">
        <f>LEFT(SearchData[[#This Row],[userId]],8)</f>
        <v>0e8ecca7</v>
      </c>
    </row>
    <row r="529" spans="1:8">
      <c r="A529" t="s">
        <v>813</v>
      </c>
      <c r="B529" t="s">
        <v>137</v>
      </c>
      <c r="C529" s="5">
        <v>45904.675587384256</v>
      </c>
      <c r="D529">
        <v>88682</v>
      </c>
      <c r="E529" s="3" t="s">
        <v>13</v>
      </c>
      <c r="F529" s="12">
        <f t="shared" si="16"/>
        <v>45904.34225405092</v>
      </c>
      <c r="G529" s="10" t="str">
        <f t="shared" si="17"/>
        <v>08:15:00</v>
      </c>
      <c r="H529" t="str">
        <f>LEFT(SearchData[[#This Row],[userId]],8)</f>
        <v>fb7d1ae3</v>
      </c>
    </row>
    <row r="530" spans="1:8">
      <c r="A530" t="s">
        <v>814</v>
      </c>
      <c r="B530" t="s">
        <v>611</v>
      </c>
      <c r="C530" s="5">
        <v>45904.684366516201</v>
      </c>
      <c r="D530">
        <v>6253</v>
      </c>
      <c r="E530" s="3" t="s">
        <v>815</v>
      </c>
      <c r="F530" s="12">
        <f t="shared" si="16"/>
        <v>45904.351033182866</v>
      </c>
      <c r="G530" s="10" t="str">
        <f t="shared" si="17"/>
        <v>08:30:00</v>
      </c>
      <c r="H530" t="str">
        <f>LEFT(SearchData[[#This Row],[userId]],8)</f>
        <v>cf20f9c8</v>
      </c>
    </row>
    <row r="531" spans="1:8">
      <c r="A531" t="s">
        <v>816</v>
      </c>
      <c r="B531" t="s">
        <v>478</v>
      </c>
      <c r="C531" s="5">
        <v>45904.706674502311</v>
      </c>
      <c r="D531">
        <v>0</v>
      </c>
      <c r="E531" s="3" t="s">
        <v>817</v>
      </c>
      <c r="F531" s="12">
        <f t="shared" si="16"/>
        <v>45904.373341168975</v>
      </c>
      <c r="G531" s="10" t="str">
        <f t="shared" si="17"/>
        <v>09:00:00</v>
      </c>
      <c r="H531" t="str">
        <f>LEFT(SearchData[[#This Row],[userId]],8)</f>
        <v>dd5359fa</v>
      </c>
    </row>
    <row r="532" spans="1:8">
      <c r="A532" t="s">
        <v>818</v>
      </c>
      <c r="B532" t="s">
        <v>228</v>
      </c>
      <c r="C532" s="5">
        <v>45904.708750231483</v>
      </c>
      <c r="D532">
        <v>6253</v>
      </c>
      <c r="E532" s="3" t="s">
        <v>250</v>
      </c>
      <c r="F532" s="12">
        <f t="shared" si="16"/>
        <v>45904.375416898147</v>
      </c>
      <c r="G532" s="10" t="str">
        <f t="shared" si="17"/>
        <v>09:00:00</v>
      </c>
      <c r="H532" t="str">
        <f>LEFT(SearchData[[#This Row],[userId]],8)</f>
        <v>865aaa25</v>
      </c>
    </row>
    <row r="533" spans="1:8">
      <c r="A533" t="s">
        <v>819</v>
      </c>
      <c r="B533" t="s">
        <v>478</v>
      </c>
      <c r="C533" s="5">
        <v>45904.708907581022</v>
      </c>
      <c r="D533">
        <v>135</v>
      </c>
      <c r="E533" s="3" t="s">
        <v>817</v>
      </c>
      <c r="F533" s="12">
        <f t="shared" si="16"/>
        <v>45904.375574247686</v>
      </c>
      <c r="G533" s="10" t="str">
        <f t="shared" si="17"/>
        <v>09:00:00</v>
      </c>
      <c r="H533" t="str">
        <f>LEFT(SearchData[[#This Row],[userId]],8)</f>
        <v>dd5359fa</v>
      </c>
    </row>
    <row r="534" spans="1:8">
      <c r="A534" t="s">
        <v>820</v>
      </c>
      <c r="B534" t="s">
        <v>527</v>
      </c>
      <c r="C534" s="5">
        <v>45904.712146377315</v>
      </c>
      <c r="D534">
        <v>6253</v>
      </c>
      <c r="E534" s="3" t="s">
        <v>229</v>
      </c>
      <c r="F534" s="12">
        <f t="shared" si="16"/>
        <v>45904.378813043979</v>
      </c>
      <c r="G534" s="10" t="str">
        <f t="shared" si="17"/>
        <v>09:00:00</v>
      </c>
      <c r="H534" t="str">
        <f>LEFT(SearchData[[#This Row],[userId]],8)</f>
        <v>0e8ecca7</v>
      </c>
    </row>
    <row r="535" spans="1:8">
      <c r="A535" t="s">
        <v>821</v>
      </c>
      <c r="B535" t="s">
        <v>611</v>
      </c>
      <c r="C535" s="5">
        <v>45904.712377743053</v>
      </c>
      <c r="D535">
        <v>6253</v>
      </c>
      <c r="E535" s="3" t="s">
        <v>815</v>
      </c>
      <c r="F535" s="12">
        <f t="shared" si="16"/>
        <v>45904.379044409718</v>
      </c>
      <c r="G535" s="10" t="str">
        <f t="shared" si="17"/>
        <v>09:00:00</v>
      </c>
      <c r="H535" t="str">
        <f>LEFT(SearchData[[#This Row],[userId]],8)</f>
        <v>cf20f9c8</v>
      </c>
    </row>
    <row r="536" spans="1:8">
      <c r="A536" t="s">
        <v>822</v>
      </c>
      <c r="B536" t="s">
        <v>137</v>
      </c>
      <c r="C536" s="5">
        <v>45904.717412280093</v>
      </c>
      <c r="D536">
        <v>88709</v>
      </c>
      <c r="E536" s="3" t="s">
        <v>13</v>
      </c>
      <c r="F536" s="12">
        <f t="shared" si="16"/>
        <v>45904.384078946758</v>
      </c>
      <c r="G536" s="10" t="str">
        <f t="shared" si="17"/>
        <v>09:15:00</v>
      </c>
      <c r="H536" t="str">
        <f>LEFT(SearchData[[#This Row],[userId]],8)</f>
        <v>fb7d1ae3</v>
      </c>
    </row>
    <row r="537" spans="1:8">
      <c r="A537" t="s">
        <v>823</v>
      </c>
      <c r="B537" t="s">
        <v>527</v>
      </c>
      <c r="C537" s="5">
        <v>45904.730662615744</v>
      </c>
      <c r="D537">
        <v>6253</v>
      </c>
      <c r="E537" s="3" t="s">
        <v>824</v>
      </c>
      <c r="F537" s="12">
        <f t="shared" si="16"/>
        <v>45904.397329282408</v>
      </c>
      <c r="G537" s="10" t="str">
        <f t="shared" si="17"/>
        <v>09:30:00</v>
      </c>
      <c r="H537" t="str">
        <f>LEFT(SearchData[[#This Row],[userId]],8)</f>
        <v>0e8ecca7</v>
      </c>
    </row>
    <row r="538" spans="1:8">
      <c r="A538" t="s">
        <v>825</v>
      </c>
      <c r="B538" t="s">
        <v>527</v>
      </c>
      <c r="C538" s="5">
        <v>45904.745106458337</v>
      </c>
      <c r="D538">
        <v>6253</v>
      </c>
      <c r="E538" s="3" t="s">
        <v>826</v>
      </c>
      <c r="F538" s="12">
        <f t="shared" si="16"/>
        <v>45904.411773125001</v>
      </c>
      <c r="G538" s="10" t="str">
        <f t="shared" si="17"/>
        <v>10:00:00</v>
      </c>
      <c r="H538" t="str">
        <f>LEFT(SearchData[[#This Row],[userId]],8)</f>
        <v>0e8ecca7</v>
      </c>
    </row>
    <row r="539" spans="1:8">
      <c r="A539" t="s">
        <v>827</v>
      </c>
      <c r="B539" t="s">
        <v>611</v>
      </c>
      <c r="C539" s="5">
        <v>45904.750853425925</v>
      </c>
      <c r="D539">
        <v>6253</v>
      </c>
      <c r="E539" s="3" t="s">
        <v>815</v>
      </c>
      <c r="F539" s="12">
        <f t="shared" si="16"/>
        <v>45904.417520092589</v>
      </c>
      <c r="G539" s="10" t="str">
        <f t="shared" si="17"/>
        <v>10:00:00</v>
      </c>
      <c r="H539" t="str">
        <f>LEFT(SearchData[[#This Row],[userId]],8)</f>
        <v>cf20f9c8</v>
      </c>
    </row>
    <row r="540" spans="1:8">
      <c r="A540" s="1" t="s">
        <v>828</v>
      </c>
      <c r="B540" t="s">
        <v>527</v>
      </c>
      <c r="C540" s="5">
        <v>45904.754209664352</v>
      </c>
      <c r="D540">
        <v>6253</v>
      </c>
      <c r="E540" s="3" t="s">
        <v>826</v>
      </c>
      <c r="F540" s="12">
        <f t="shared" si="16"/>
        <v>45904.420876331016</v>
      </c>
      <c r="G540" s="10" t="str">
        <f t="shared" si="17"/>
        <v>10:00:00</v>
      </c>
      <c r="H540" t="str">
        <f>LEFT(SearchData[[#This Row],[userId]],8)</f>
        <v>0e8ecca7</v>
      </c>
    </row>
    <row r="541" spans="1:8">
      <c r="A541" t="s">
        <v>829</v>
      </c>
      <c r="B541" t="s">
        <v>228</v>
      </c>
      <c r="C541" s="5">
        <v>45904.777774895832</v>
      </c>
      <c r="D541">
        <v>6253</v>
      </c>
      <c r="E541" s="3" t="s">
        <v>250</v>
      </c>
      <c r="F541" s="12">
        <f t="shared" si="16"/>
        <v>45904.444441562497</v>
      </c>
      <c r="G541" s="10" t="str">
        <f t="shared" si="17"/>
        <v>10:45:00</v>
      </c>
      <c r="H541" t="str">
        <f>LEFT(SearchData[[#This Row],[userId]],8)</f>
        <v>865aaa25</v>
      </c>
    </row>
    <row r="542" spans="1:8">
      <c r="A542" t="s">
        <v>830</v>
      </c>
      <c r="B542" t="s">
        <v>137</v>
      </c>
      <c r="C542" s="5">
        <v>45904.778796539351</v>
      </c>
      <c r="D542">
        <v>6253</v>
      </c>
      <c r="E542" s="3" t="s">
        <v>11</v>
      </c>
      <c r="F542" s="12">
        <f t="shared" si="16"/>
        <v>45904.445463206015</v>
      </c>
      <c r="G542" s="10" t="str">
        <f t="shared" si="17"/>
        <v>10:45:00</v>
      </c>
      <c r="H542" t="str">
        <f>LEFT(SearchData[[#This Row],[userId]],8)</f>
        <v>fb7d1ae3</v>
      </c>
    </row>
    <row r="543" spans="1:8">
      <c r="A543" t="s">
        <v>831</v>
      </c>
      <c r="B543" t="s">
        <v>611</v>
      </c>
      <c r="C543" s="5">
        <v>45904.794891493053</v>
      </c>
      <c r="D543">
        <v>6253</v>
      </c>
      <c r="E543" s="3" t="s">
        <v>815</v>
      </c>
      <c r="F543" s="12">
        <f t="shared" si="16"/>
        <v>45904.461558159717</v>
      </c>
      <c r="G543" s="10" t="str">
        <f t="shared" si="17"/>
        <v>11:00:00</v>
      </c>
      <c r="H543" t="str">
        <f>LEFT(SearchData[[#This Row],[userId]],8)</f>
        <v>cf20f9c8</v>
      </c>
    </row>
    <row r="544" spans="1:8">
      <c r="A544" t="s">
        <v>832</v>
      </c>
      <c r="B544" t="s">
        <v>527</v>
      </c>
      <c r="C544" s="5">
        <v>45904.798532291665</v>
      </c>
      <c r="D544">
        <v>6253</v>
      </c>
      <c r="E544" s="3" t="s">
        <v>826</v>
      </c>
      <c r="F544" s="12">
        <f t="shared" si="16"/>
        <v>45904.465198958329</v>
      </c>
      <c r="G544" s="10" t="str">
        <f t="shared" si="17"/>
        <v>11:15:00</v>
      </c>
      <c r="H544" t="str">
        <f>LEFT(SearchData[[#This Row],[userId]],8)</f>
        <v>0e8ecca7</v>
      </c>
    </row>
    <row r="545" spans="1:8">
      <c r="A545" t="s">
        <v>833</v>
      </c>
      <c r="B545" t="s">
        <v>228</v>
      </c>
      <c r="C545" s="5">
        <v>45904.809845497686</v>
      </c>
      <c r="D545">
        <v>6253</v>
      </c>
      <c r="E545" s="3" t="s">
        <v>250</v>
      </c>
      <c r="F545" s="12">
        <f t="shared" si="16"/>
        <v>45904.47651216435</v>
      </c>
      <c r="G545" s="10" t="str">
        <f t="shared" si="17"/>
        <v>11:30:00</v>
      </c>
      <c r="H545" t="str">
        <f>LEFT(SearchData[[#This Row],[userId]],8)</f>
        <v>865aaa25</v>
      </c>
    </row>
    <row r="546" spans="1:8">
      <c r="A546" t="s">
        <v>834</v>
      </c>
      <c r="B546" t="s">
        <v>228</v>
      </c>
      <c r="C546" s="5">
        <v>45904.834810370368</v>
      </c>
      <c r="D546">
        <v>6253</v>
      </c>
      <c r="E546" s="3" t="s">
        <v>250</v>
      </c>
      <c r="F546" s="12">
        <f t="shared" si="16"/>
        <v>45904.501477037033</v>
      </c>
      <c r="G546" s="10" t="str">
        <f t="shared" si="17"/>
        <v>12:00:00</v>
      </c>
      <c r="H546" t="str">
        <f>LEFT(SearchData[[#This Row],[userId]],8)</f>
        <v>865aaa25</v>
      </c>
    </row>
    <row r="547" spans="1:8">
      <c r="A547" t="s">
        <v>835</v>
      </c>
      <c r="B547" t="s">
        <v>611</v>
      </c>
      <c r="C547" s="5">
        <v>45904.860944780092</v>
      </c>
      <c r="D547">
        <v>6253</v>
      </c>
      <c r="E547" s="3" t="s">
        <v>815</v>
      </c>
      <c r="F547" s="12">
        <f t="shared" si="16"/>
        <v>45904.527611446756</v>
      </c>
      <c r="G547" s="10" t="str">
        <f t="shared" si="17"/>
        <v>12:45:00</v>
      </c>
      <c r="H547" t="str">
        <f>LEFT(SearchData[[#This Row],[userId]],8)</f>
        <v>cf20f9c8</v>
      </c>
    </row>
    <row r="548" spans="1:8">
      <c r="A548" t="s">
        <v>836</v>
      </c>
      <c r="B548" t="s">
        <v>228</v>
      </c>
      <c r="C548" s="5">
        <v>45904.894438333336</v>
      </c>
      <c r="D548">
        <v>6253</v>
      </c>
      <c r="E548" s="3" t="s">
        <v>250</v>
      </c>
      <c r="F548" s="12">
        <f t="shared" si="16"/>
        <v>45904.561105000001</v>
      </c>
      <c r="G548" s="10" t="str">
        <f t="shared" si="17"/>
        <v>13:30:00</v>
      </c>
      <c r="H548" t="str">
        <f>LEFT(SearchData[[#This Row],[userId]],8)</f>
        <v>865aaa25</v>
      </c>
    </row>
    <row r="549" spans="1:8">
      <c r="A549" t="s">
        <v>837</v>
      </c>
      <c r="B549" t="s">
        <v>611</v>
      </c>
      <c r="C549" s="5">
        <v>45904.908769664355</v>
      </c>
      <c r="D549">
        <v>6253</v>
      </c>
      <c r="E549" s="3" t="s">
        <v>815</v>
      </c>
      <c r="F549" s="12">
        <f t="shared" si="16"/>
        <v>45904.575436331019</v>
      </c>
      <c r="G549" s="10" t="str">
        <f t="shared" si="17"/>
        <v>13:45:00</v>
      </c>
      <c r="H549" t="str">
        <f>LEFT(SearchData[[#This Row],[userId]],8)</f>
        <v>cf20f9c8</v>
      </c>
    </row>
    <row r="550" spans="1:8">
      <c r="A550" t="s">
        <v>838</v>
      </c>
      <c r="B550" t="s">
        <v>611</v>
      </c>
      <c r="C550" s="5">
        <v>45904.931947962963</v>
      </c>
      <c r="D550">
        <v>6253</v>
      </c>
      <c r="E550" s="3" t="s">
        <v>815</v>
      </c>
      <c r="F550" s="12">
        <f t="shared" si="16"/>
        <v>45904.598614629627</v>
      </c>
      <c r="G550" s="10" t="str">
        <f t="shared" si="17"/>
        <v>14:15:00</v>
      </c>
      <c r="H550" t="str">
        <f>LEFT(SearchData[[#This Row],[userId]],8)</f>
        <v>cf20f9c8</v>
      </c>
    </row>
    <row r="551" spans="1:8">
      <c r="A551" t="s">
        <v>839</v>
      </c>
      <c r="B551" t="s">
        <v>137</v>
      </c>
      <c r="C551" s="5">
        <v>45904.947587199073</v>
      </c>
      <c r="D551">
        <v>90330</v>
      </c>
      <c r="E551" s="3" t="s">
        <v>13</v>
      </c>
      <c r="F551" s="12">
        <f t="shared" si="16"/>
        <v>45904.614253865737</v>
      </c>
      <c r="G551" s="10" t="str">
        <f t="shared" si="17"/>
        <v>14:45:00</v>
      </c>
      <c r="H551" t="str">
        <f>LEFT(SearchData[[#This Row],[userId]],8)</f>
        <v>fb7d1ae3</v>
      </c>
    </row>
    <row r="552" spans="1:8">
      <c r="A552" t="s">
        <v>840</v>
      </c>
      <c r="B552" t="s">
        <v>281</v>
      </c>
      <c r="C552" s="5">
        <v>45904.982743622684</v>
      </c>
      <c r="D552">
        <v>6253</v>
      </c>
      <c r="E552" s="3">
        <v>2505929</v>
      </c>
      <c r="F552" s="12">
        <f t="shared" si="16"/>
        <v>45904.649410289348</v>
      </c>
      <c r="G552" s="10" t="str">
        <f t="shared" si="17"/>
        <v>15:30:00</v>
      </c>
      <c r="H552" t="str">
        <f>LEFT(SearchData[[#This Row],[userId]],8)</f>
        <v>fc8596ff</v>
      </c>
    </row>
    <row r="553" spans="1:8">
      <c r="A553" t="s">
        <v>841</v>
      </c>
      <c r="B553" t="s">
        <v>281</v>
      </c>
      <c r="C553" s="5">
        <v>45904.985246597222</v>
      </c>
      <c r="D553">
        <v>6253</v>
      </c>
      <c r="E553" s="3" t="s">
        <v>842</v>
      </c>
      <c r="F553" s="12">
        <f t="shared" si="16"/>
        <v>45904.651913263886</v>
      </c>
      <c r="G553" s="10" t="str">
        <f t="shared" si="17"/>
        <v>15:45:00</v>
      </c>
      <c r="H553" t="str">
        <f>LEFT(SearchData[[#This Row],[userId]],8)</f>
        <v>fc8596ff</v>
      </c>
    </row>
    <row r="554" spans="1:8">
      <c r="A554" t="s">
        <v>843</v>
      </c>
      <c r="B554" t="s">
        <v>137</v>
      </c>
      <c r="C554" s="5">
        <v>45905.037040810188</v>
      </c>
      <c r="D554">
        <v>6253</v>
      </c>
      <c r="E554" s="3" t="s">
        <v>844</v>
      </c>
      <c r="F554" s="12">
        <f t="shared" si="16"/>
        <v>45904.703707476852</v>
      </c>
      <c r="G554" s="10" t="str">
        <f t="shared" si="17"/>
        <v>17:00:00</v>
      </c>
      <c r="H554" t="str">
        <f>LEFT(SearchData[[#This Row],[userId]],8)</f>
        <v>fb7d1ae3</v>
      </c>
    </row>
    <row r="555" spans="1:8">
      <c r="A555" t="s">
        <v>845</v>
      </c>
      <c r="B555" t="s">
        <v>527</v>
      </c>
      <c r="C555" s="5">
        <v>45905.055242685186</v>
      </c>
      <c r="D555">
        <v>6253</v>
      </c>
      <c r="E555" s="3" t="s">
        <v>826</v>
      </c>
      <c r="F555" s="12">
        <f t="shared" si="16"/>
        <v>45904.721909351851</v>
      </c>
      <c r="G555" s="10" t="str">
        <f t="shared" si="17"/>
        <v>17:15:00</v>
      </c>
      <c r="H555" t="str">
        <f>LEFT(SearchData[[#This Row],[userId]],8)</f>
        <v>0e8ecca7</v>
      </c>
    </row>
    <row r="556" spans="1:8">
      <c r="A556" t="s">
        <v>846</v>
      </c>
      <c r="B556" t="s">
        <v>527</v>
      </c>
      <c r="C556" s="5">
        <v>45905.056140960645</v>
      </c>
      <c r="D556">
        <v>6253</v>
      </c>
      <c r="E556" s="3" t="s">
        <v>847</v>
      </c>
      <c r="F556" s="12">
        <f t="shared" si="16"/>
        <v>45904.72280762731</v>
      </c>
      <c r="G556" s="10" t="str">
        <f t="shared" si="17"/>
        <v>17:15:00</v>
      </c>
      <c r="H556" t="str">
        <f>LEFT(SearchData[[#This Row],[userId]],8)</f>
        <v>0e8ecca7</v>
      </c>
    </row>
    <row r="557" spans="1:8">
      <c r="A557" t="s">
        <v>848</v>
      </c>
      <c r="B557" t="s">
        <v>611</v>
      </c>
      <c r="C557" s="5">
        <v>45905.075437222222</v>
      </c>
      <c r="D557">
        <v>6253</v>
      </c>
      <c r="E557" s="3" t="s">
        <v>815</v>
      </c>
      <c r="F557" s="12">
        <f t="shared" si="16"/>
        <v>45904.742103888886</v>
      </c>
      <c r="G557" s="10" t="str">
        <f t="shared" si="17"/>
        <v>17:45:00</v>
      </c>
      <c r="H557" t="str">
        <f>LEFT(SearchData[[#This Row],[userId]],8)</f>
        <v>cf20f9c8</v>
      </c>
    </row>
    <row r="558" spans="1:8">
      <c r="A558" t="s">
        <v>849</v>
      </c>
      <c r="B558" t="s">
        <v>656</v>
      </c>
      <c r="C558" s="5">
        <v>45905.614779733798</v>
      </c>
      <c r="D558">
        <v>6253</v>
      </c>
      <c r="E558" s="3" t="s">
        <v>850</v>
      </c>
      <c r="F558" s="12">
        <f t="shared" si="16"/>
        <v>45905.281446400462</v>
      </c>
      <c r="G558" s="10" t="str">
        <f t="shared" si="17"/>
        <v>06:45:00</v>
      </c>
      <c r="H558" t="str">
        <f>LEFT(SearchData[[#This Row],[userId]],8)</f>
        <v>2d4eebd6</v>
      </c>
    </row>
    <row r="559" spans="1:8">
      <c r="A559" t="s">
        <v>851</v>
      </c>
      <c r="B559" t="s">
        <v>656</v>
      </c>
      <c r="C559" s="5">
        <v>45905.614881458336</v>
      </c>
      <c r="D559">
        <v>6253</v>
      </c>
      <c r="E559" s="3" t="s">
        <v>852</v>
      </c>
      <c r="F559" s="12">
        <f t="shared" si="16"/>
        <v>45905.281548125</v>
      </c>
      <c r="G559" s="10" t="str">
        <f t="shared" si="17"/>
        <v>06:45:00</v>
      </c>
      <c r="H559" t="str">
        <f>LEFT(SearchData[[#This Row],[userId]],8)</f>
        <v>2d4eebd6</v>
      </c>
    </row>
    <row r="560" spans="1:8">
      <c r="A560" t="s">
        <v>853</v>
      </c>
      <c r="B560" t="s">
        <v>527</v>
      </c>
      <c r="C560" s="5">
        <v>45905.663907337963</v>
      </c>
      <c r="D560">
        <v>6253</v>
      </c>
      <c r="E560" s="3" t="s">
        <v>854</v>
      </c>
      <c r="F560" s="12">
        <f t="shared" si="16"/>
        <v>45905.330574004627</v>
      </c>
      <c r="G560" s="10" t="str">
        <f t="shared" si="17"/>
        <v>08:00:00</v>
      </c>
      <c r="H560" t="str">
        <f>LEFT(SearchData[[#This Row],[userId]],8)</f>
        <v>0e8ecca7</v>
      </c>
    </row>
    <row r="561" spans="1:8">
      <c r="A561" t="s">
        <v>855</v>
      </c>
      <c r="B561" t="s">
        <v>137</v>
      </c>
      <c r="C561" s="5">
        <v>45905.671554918983</v>
      </c>
      <c r="D561">
        <v>90409</v>
      </c>
      <c r="E561" s="3" t="s">
        <v>13</v>
      </c>
      <c r="F561" s="12">
        <f t="shared" si="16"/>
        <v>45905.338221585647</v>
      </c>
      <c r="G561" s="10" t="str">
        <f t="shared" si="17"/>
        <v>08:00:00</v>
      </c>
      <c r="H561" t="str">
        <f>LEFT(SearchData[[#This Row],[userId]],8)</f>
        <v>fb7d1ae3</v>
      </c>
    </row>
    <row r="562" spans="1:8">
      <c r="A562" t="s">
        <v>856</v>
      </c>
      <c r="B562" t="s">
        <v>656</v>
      </c>
      <c r="C562" s="5">
        <v>45905.7211809375</v>
      </c>
      <c r="D562">
        <v>6253</v>
      </c>
      <c r="E562" s="3" t="s">
        <v>857</v>
      </c>
      <c r="F562" s="12">
        <f t="shared" si="16"/>
        <v>45905.387847604165</v>
      </c>
      <c r="G562" s="10" t="str">
        <f t="shared" si="17"/>
        <v>09:15:00</v>
      </c>
      <c r="H562" t="str">
        <f>LEFT(SearchData[[#This Row],[userId]],8)</f>
        <v>2d4eebd6</v>
      </c>
    </row>
    <row r="563" spans="1:8">
      <c r="A563" t="s">
        <v>858</v>
      </c>
      <c r="B563" t="s">
        <v>137</v>
      </c>
      <c r="C563" s="5">
        <v>45905.870199988429</v>
      </c>
      <c r="D563">
        <v>90497</v>
      </c>
      <c r="E563" s="3" t="s">
        <v>13</v>
      </c>
      <c r="F563" s="12">
        <f t="shared" si="16"/>
        <v>45905.536866655093</v>
      </c>
      <c r="G563" s="10" t="str">
        <f t="shared" si="17"/>
        <v>13:00:00</v>
      </c>
      <c r="H563" t="str">
        <f>LEFT(SearchData[[#This Row],[userId]],8)</f>
        <v>fb7d1ae3</v>
      </c>
    </row>
    <row r="564" spans="1:8">
      <c r="A564" t="s">
        <v>859</v>
      </c>
      <c r="B564" s="1" t="s">
        <v>614</v>
      </c>
      <c r="C564" s="5">
        <v>45906.21900902778</v>
      </c>
      <c r="D564">
        <v>6257</v>
      </c>
      <c r="E564" s="3" t="s">
        <v>493</v>
      </c>
      <c r="F564" s="12">
        <f t="shared" si="16"/>
        <v>45905.885675694444</v>
      </c>
      <c r="G564" s="10" t="str">
        <f t="shared" si="17"/>
        <v>21:15:00</v>
      </c>
      <c r="H564" t="str">
        <f>LEFT(SearchData[[#This Row],[userId]],8)</f>
        <v>154e5978</v>
      </c>
    </row>
    <row r="565" spans="1:8">
      <c r="A565" t="s">
        <v>860</v>
      </c>
      <c r="B565" t="s">
        <v>487</v>
      </c>
      <c r="C565" s="5">
        <v>45907.071672071761</v>
      </c>
      <c r="D565">
        <v>90552</v>
      </c>
      <c r="E565" s="3" t="s">
        <v>302</v>
      </c>
      <c r="F565" s="12">
        <f t="shared" si="16"/>
        <v>45906.738338738425</v>
      </c>
      <c r="G565" s="10" t="str">
        <f t="shared" si="17"/>
        <v>17:45:00</v>
      </c>
      <c r="H565" t="str">
        <f>LEFT(SearchData[[#This Row],[userId]],8)</f>
        <v>f676770a</v>
      </c>
    </row>
    <row r="566" spans="1:8">
      <c r="A566" t="s">
        <v>861</v>
      </c>
      <c r="B566" t="s">
        <v>487</v>
      </c>
      <c r="C566" s="5">
        <v>45907.297788784723</v>
      </c>
      <c r="D566">
        <v>90552</v>
      </c>
      <c r="E566" s="3" t="s">
        <v>302</v>
      </c>
      <c r="F566" s="12">
        <f t="shared" si="16"/>
        <v>45906.964455451387</v>
      </c>
      <c r="G566" s="10" t="str">
        <f t="shared" si="17"/>
        <v>23:15:00</v>
      </c>
      <c r="H566" t="str">
        <f>LEFT(SearchData[[#This Row],[userId]],8)</f>
        <v>f676770a</v>
      </c>
    </row>
    <row r="567" spans="1:8">
      <c r="A567" t="s">
        <v>862</v>
      </c>
      <c r="B567" t="s">
        <v>487</v>
      </c>
      <c r="C567" s="5">
        <v>45908.173005312499</v>
      </c>
      <c r="D567">
        <v>6257</v>
      </c>
      <c r="E567" s="3" t="s">
        <v>296</v>
      </c>
      <c r="F567" s="12">
        <f t="shared" si="16"/>
        <v>45907.839671979164</v>
      </c>
      <c r="G567" s="10" t="str">
        <f t="shared" si="17"/>
        <v>20:15:00</v>
      </c>
      <c r="H567" t="str">
        <f>LEFT(SearchData[[#This Row],[userId]],8)</f>
        <v>f676770a</v>
      </c>
    </row>
    <row r="568" spans="1:8">
      <c r="A568" t="s">
        <v>863</v>
      </c>
      <c r="B568" t="s">
        <v>137</v>
      </c>
      <c r="C568" s="5">
        <v>45908.68988474537</v>
      </c>
      <c r="D568">
        <v>90593</v>
      </c>
      <c r="E568" s="3" t="s">
        <v>13</v>
      </c>
      <c r="F568" s="12">
        <f t="shared" si="16"/>
        <v>45908.356551412035</v>
      </c>
      <c r="G568" s="10" t="str">
        <f t="shared" si="17"/>
        <v>08:30:00</v>
      </c>
      <c r="H568" t="str">
        <f>LEFT(SearchData[[#This Row],[userId]],8)</f>
        <v>fb7d1ae3</v>
      </c>
    </row>
    <row r="569" spans="1:8">
      <c r="A569" t="s">
        <v>864</v>
      </c>
      <c r="B569" t="s">
        <v>137</v>
      </c>
      <c r="C569" s="5">
        <v>45908.834218819444</v>
      </c>
      <c r="D569">
        <v>90612</v>
      </c>
      <c r="E569" s="3" t="s">
        <v>182</v>
      </c>
      <c r="F569" s="12">
        <f t="shared" si="16"/>
        <v>45908.500885486108</v>
      </c>
      <c r="G569" s="10" t="str">
        <f t="shared" si="17"/>
        <v>12:00:00</v>
      </c>
      <c r="H569" t="str">
        <f>LEFT(SearchData[[#This Row],[userId]],8)</f>
        <v>fb7d1ae3</v>
      </c>
    </row>
    <row r="570" spans="1:8">
      <c r="A570" t="s">
        <v>865</v>
      </c>
      <c r="B570" t="s">
        <v>192</v>
      </c>
      <c r="C570" s="5">
        <v>45908.856041967592</v>
      </c>
      <c r="D570">
        <v>6252</v>
      </c>
      <c r="E570" s="3" t="s">
        <v>5</v>
      </c>
      <c r="F570" s="12">
        <f t="shared" si="16"/>
        <v>45908.522708634257</v>
      </c>
      <c r="G570" s="10" t="str">
        <f t="shared" si="17"/>
        <v>12:30:00</v>
      </c>
      <c r="H570" t="str">
        <f>LEFT(SearchData[[#This Row],[userId]],8)</f>
        <v>fbfa025f</v>
      </c>
    </row>
    <row r="571" spans="1:8">
      <c r="A571" t="s">
        <v>866</v>
      </c>
      <c r="B571" t="s">
        <v>192</v>
      </c>
      <c r="C571" s="5">
        <v>45908.948704826391</v>
      </c>
      <c r="D571">
        <v>6252</v>
      </c>
      <c r="E571" s="3" t="s">
        <v>5</v>
      </c>
      <c r="F571" s="12">
        <f t="shared" si="16"/>
        <v>45908.615371493055</v>
      </c>
      <c r="G571" s="10" t="str">
        <f t="shared" si="17"/>
        <v>14:45:00</v>
      </c>
      <c r="H571" t="str">
        <f>LEFT(SearchData[[#This Row],[userId]],8)</f>
        <v>fbfa025f</v>
      </c>
    </row>
    <row r="572" spans="1:8">
      <c r="A572" t="s">
        <v>867</v>
      </c>
      <c r="B572" t="s">
        <v>137</v>
      </c>
      <c r="C572" s="5">
        <v>45908.952830532406</v>
      </c>
      <c r="D572">
        <v>6252</v>
      </c>
      <c r="E572" s="3" t="s">
        <v>250</v>
      </c>
      <c r="F572" s="12">
        <f t="shared" si="16"/>
        <v>45908.61949719907</v>
      </c>
      <c r="G572" s="10" t="str">
        <f t="shared" si="17"/>
        <v>14:45:00</v>
      </c>
      <c r="H572" t="str">
        <f>LEFT(SearchData[[#This Row],[userId]],8)</f>
        <v>fb7d1ae3</v>
      </c>
    </row>
    <row r="573" spans="1:8">
      <c r="A573" t="s">
        <v>868</v>
      </c>
      <c r="B573" t="s">
        <v>391</v>
      </c>
      <c r="C573" s="5">
        <v>45908.957476249998</v>
      </c>
      <c r="D573">
        <v>90511</v>
      </c>
      <c r="E573" s="3" t="s">
        <v>776</v>
      </c>
      <c r="F573" s="12">
        <f t="shared" si="16"/>
        <v>45908.624142916662</v>
      </c>
      <c r="G573" s="10" t="str">
        <f t="shared" si="17"/>
        <v>15:00:00</v>
      </c>
      <c r="H573" t="str">
        <f>LEFT(SearchData[[#This Row],[userId]],8)</f>
        <v>162b0343</v>
      </c>
    </row>
    <row r="574" spans="1:8">
      <c r="A574" t="s">
        <v>869</v>
      </c>
      <c r="B574" t="s">
        <v>137</v>
      </c>
      <c r="C574" s="5">
        <v>45908.96271310185</v>
      </c>
      <c r="D574">
        <v>6252</v>
      </c>
      <c r="E574" s="3" t="s">
        <v>870</v>
      </c>
      <c r="F574" s="12">
        <f t="shared" si="16"/>
        <v>45908.629379768514</v>
      </c>
      <c r="G574" s="10" t="str">
        <f t="shared" si="17"/>
        <v>15:00:00</v>
      </c>
      <c r="H574" t="str">
        <f>LEFT(SearchData[[#This Row],[userId]],8)</f>
        <v>fb7d1ae3</v>
      </c>
    </row>
    <row r="575" spans="1:8">
      <c r="A575" t="s">
        <v>871</v>
      </c>
      <c r="B575" t="s">
        <v>192</v>
      </c>
      <c r="C575" s="5">
        <v>45908.967697187501</v>
      </c>
      <c r="D575">
        <v>6252</v>
      </c>
      <c r="E575" s="3" t="s">
        <v>5</v>
      </c>
      <c r="F575" s="12">
        <f t="shared" si="16"/>
        <v>45908.634363854166</v>
      </c>
      <c r="G575" s="10" t="str">
        <f t="shared" si="17"/>
        <v>15:15:00</v>
      </c>
      <c r="H575" t="str">
        <f>LEFT(SearchData[[#This Row],[userId]],8)</f>
        <v>fbfa025f</v>
      </c>
    </row>
    <row r="576" spans="1:8">
      <c r="A576" t="s">
        <v>872</v>
      </c>
      <c r="B576" s="1" t="s">
        <v>614</v>
      </c>
      <c r="C576" s="5">
        <v>45909.001802615741</v>
      </c>
      <c r="D576">
        <v>6252</v>
      </c>
      <c r="E576" s="3" t="s">
        <v>493</v>
      </c>
      <c r="F576" s="12">
        <f t="shared" si="16"/>
        <v>45908.668469282406</v>
      </c>
      <c r="G576" s="10" t="str">
        <f t="shared" si="17"/>
        <v>16:00:00</v>
      </c>
      <c r="H576" t="str">
        <f>LEFT(SearchData[[#This Row],[userId]],8)</f>
        <v>154e5978</v>
      </c>
    </row>
    <row r="577" spans="1:8">
      <c r="A577" t="s">
        <v>873</v>
      </c>
      <c r="B577" s="1" t="s">
        <v>614</v>
      </c>
      <c r="C577" s="5">
        <v>45909.206910011577</v>
      </c>
      <c r="D577">
        <v>6252</v>
      </c>
      <c r="E577" s="3" t="s">
        <v>493</v>
      </c>
      <c r="F577" s="12">
        <f t="shared" si="16"/>
        <v>45908.873576678241</v>
      </c>
      <c r="G577" s="10" t="str">
        <f t="shared" si="17"/>
        <v>21:00:00</v>
      </c>
      <c r="H577" t="str">
        <f>LEFT(SearchData[[#This Row],[userId]],8)</f>
        <v>154e5978</v>
      </c>
    </row>
    <row r="578" spans="1:8">
      <c r="A578" t="s">
        <v>874</v>
      </c>
      <c r="B578" s="1" t="s">
        <v>614</v>
      </c>
      <c r="C578" s="5">
        <v>45909.22912596065</v>
      </c>
      <c r="D578">
        <v>6252</v>
      </c>
      <c r="E578" s="3" t="s">
        <v>493</v>
      </c>
      <c r="F578" s="12">
        <f t="shared" ref="F578:F641" si="18">C578-TIME(8,0,0)</f>
        <v>45908.895792627314</v>
      </c>
      <c r="G578" s="10" t="str">
        <f t="shared" ref="G578:G641" si="19">TEXT(MROUND(C578-TIME(8,0,0), "0:15"),"HH:MM:SS")</f>
        <v>21:30:00</v>
      </c>
      <c r="H578" t="str">
        <f>LEFT(SearchData[[#This Row],[userId]],8)</f>
        <v>154e5978</v>
      </c>
    </row>
    <row r="579" spans="1:8">
      <c r="A579" t="s">
        <v>875</v>
      </c>
      <c r="B579" s="1" t="s">
        <v>614</v>
      </c>
      <c r="C579" s="5">
        <v>45909.36074434028</v>
      </c>
      <c r="D579">
        <v>6252</v>
      </c>
      <c r="E579" s="3" t="s">
        <v>493</v>
      </c>
      <c r="F579" s="12">
        <f t="shared" si="18"/>
        <v>45909.027411006944</v>
      </c>
      <c r="G579" s="10" t="str">
        <f t="shared" si="19"/>
        <v>00:45:00</v>
      </c>
      <c r="H579" t="str">
        <f>LEFT(SearchData[[#This Row],[userId]],8)</f>
        <v>154e5978</v>
      </c>
    </row>
    <row r="580" spans="1:8">
      <c r="A580" t="s">
        <v>876</v>
      </c>
      <c r="B580" t="s">
        <v>420</v>
      </c>
      <c r="C580" s="5">
        <v>45909.363206238428</v>
      </c>
      <c r="D580">
        <v>6252</v>
      </c>
      <c r="E580" s="3" t="s">
        <v>186</v>
      </c>
      <c r="F580" s="12">
        <f t="shared" si="18"/>
        <v>45909.029872905092</v>
      </c>
      <c r="G580" s="10" t="str">
        <f t="shared" si="19"/>
        <v>00:45:00</v>
      </c>
      <c r="H580" t="str">
        <f>LEFT(SearchData[[#This Row],[userId]],8)</f>
        <v>6d2d86c1</v>
      </c>
    </row>
    <row r="581" spans="1:8">
      <c r="A581" t="s">
        <v>877</v>
      </c>
      <c r="B581" t="s">
        <v>487</v>
      </c>
      <c r="C581" s="5">
        <v>45909.392691805559</v>
      </c>
      <c r="D581">
        <v>6252</v>
      </c>
      <c r="E581" s="3" t="s">
        <v>302</v>
      </c>
      <c r="F581" s="12">
        <f t="shared" si="18"/>
        <v>45909.059358472223</v>
      </c>
      <c r="G581" s="10" t="str">
        <f t="shared" si="19"/>
        <v>01:30:00</v>
      </c>
      <c r="H581" t="str">
        <f>LEFT(SearchData[[#This Row],[userId]],8)</f>
        <v>f676770a</v>
      </c>
    </row>
    <row r="582" spans="1:8">
      <c r="A582" t="s">
        <v>878</v>
      </c>
      <c r="B582" s="1" t="s">
        <v>614</v>
      </c>
      <c r="C582" s="5">
        <v>45909.461896168985</v>
      </c>
      <c r="D582">
        <v>6252</v>
      </c>
      <c r="E582" s="3" t="s">
        <v>493</v>
      </c>
      <c r="F582" s="12">
        <f t="shared" si="18"/>
        <v>45909.128562835649</v>
      </c>
      <c r="G582" s="10" t="str">
        <f t="shared" si="19"/>
        <v>03:00:00</v>
      </c>
      <c r="H582" t="str">
        <f>LEFT(SearchData[[#This Row],[userId]],8)</f>
        <v>154e5978</v>
      </c>
    </row>
    <row r="583" spans="1:8">
      <c r="A583" t="s">
        <v>879</v>
      </c>
      <c r="B583" t="s">
        <v>137</v>
      </c>
      <c r="C583" s="5">
        <v>45909.642341064813</v>
      </c>
      <c r="D583">
        <v>6252</v>
      </c>
      <c r="E583" s="3" t="s">
        <v>250</v>
      </c>
      <c r="F583" s="12">
        <f t="shared" si="18"/>
        <v>45909.309007731477</v>
      </c>
      <c r="G583" s="10" t="str">
        <f t="shared" si="19"/>
        <v>07:30:00</v>
      </c>
      <c r="H583" t="str">
        <f>LEFT(SearchData[[#This Row],[userId]],8)</f>
        <v>fb7d1ae3</v>
      </c>
    </row>
    <row r="584" spans="1:8">
      <c r="A584" t="s">
        <v>880</v>
      </c>
      <c r="B584" t="s">
        <v>137</v>
      </c>
      <c r="C584" s="5">
        <v>45909.877533217594</v>
      </c>
      <c r="D584">
        <v>6138</v>
      </c>
      <c r="E584" s="3" t="s">
        <v>375</v>
      </c>
      <c r="F584" s="12">
        <f t="shared" si="18"/>
        <v>45909.544199884258</v>
      </c>
      <c r="G584" s="10" t="str">
        <f t="shared" si="19"/>
        <v>13:00:00</v>
      </c>
      <c r="H584" t="str">
        <f>LEFT(SearchData[[#This Row],[userId]],8)</f>
        <v>fb7d1ae3</v>
      </c>
    </row>
    <row r="585" spans="1:8">
      <c r="A585" t="s">
        <v>881</v>
      </c>
      <c r="B585" t="s">
        <v>203</v>
      </c>
      <c r="C585" s="5">
        <v>45909.904969895833</v>
      </c>
      <c r="D585">
        <v>6138</v>
      </c>
      <c r="E585" s="3" t="s">
        <v>375</v>
      </c>
      <c r="F585" s="12">
        <f t="shared" si="18"/>
        <v>45909.571636562498</v>
      </c>
      <c r="G585" s="10" t="str">
        <f t="shared" si="19"/>
        <v>13:45:00</v>
      </c>
      <c r="H585" t="str">
        <f>LEFT(SearchData[[#This Row],[userId]],8)</f>
        <v>5099fed4</v>
      </c>
    </row>
    <row r="586" spans="1:8">
      <c r="A586" t="s">
        <v>882</v>
      </c>
      <c r="B586" t="s">
        <v>137</v>
      </c>
      <c r="C586" s="5">
        <v>45909.917562812501</v>
      </c>
      <c r="D586">
        <v>6138</v>
      </c>
      <c r="E586" s="3" t="s">
        <v>375</v>
      </c>
      <c r="F586" s="12">
        <f t="shared" si="18"/>
        <v>45909.584229479166</v>
      </c>
      <c r="G586" s="10" t="str">
        <f t="shared" si="19"/>
        <v>14:00:00</v>
      </c>
      <c r="H586" t="str">
        <f>LEFT(SearchData[[#This Row],[userId]],8)</f>
        <v>fb7d1ae3</v>
      </c>
    </row>
    <row r="587" spans="1:8">
      <c r="A587" t="s">
        <v>883</v>
      </c>
      <c r="B587" t="s">
        <v>137</v>
      </c>
      <c r="C587" s="5">
        <v>45909.966621203705</v>
      </c>
      <c r="D587">
        <v>6138</v>
      </c>
      <c r="E587" s="3" t="s">
        <v>375</v>
      </c>
      <c r="F587" s="12">
        <f t="shared" si="18"/>
        <v>45909.633287870369</v>
      </c>
      <c r="G587" s="10" t="str">
        <f t="shared" si="19"/>
        <v>15:15:00</v>
      </c>
      <c r="H587" t="str">
        <f>LEFT(SearchData[[#This Row],[userId]],8)</f>
        <v>fb7d1ae3</v>
      </c>
    </row>
    <row r="588" spans="1:8">
      <c r="A588" t="s">
        <v>884</v>
      </c>
      <c r="B588" t="s">
        <v>192</v>
      </c>
      <c r="C588" s="5">
        <v>45909.974334872684</v>
      </c>
      <c r="D588">
        <v>6138</v>
      </c>
      <c r="E588" s="3" t="s">
        <v>5</v>
      </c>
      <c r="F588" s="12">
        <f t="shared" si="18"/>
        <v>45909.641001539349</v>
      </c>
      <c r="G588" s="10" t="str">
        <f t="shared" si="19"/>
        <v>15:30:00</v>
      </c>
      <c r="H588" t="str">
        <f>LEFT(SearchData[[#This Row],[userId]],8)</f>
        <v>fbfa025f</v>
      </c>
    </row>
    <row r="589" spans="1:8">
      <c r="A589" t="s">
        <v>885</v>
      </c>
      <c r="B589" t="s">
        <v>487</v>
      </c>
      <c r="C589" s="5">
        <v>45910.033897291665</v>
      </c>
      <c r="D589">
        <v>6138</v>
      </c>
      <c r="E589" s="3" t="s">
        <v>302</v>
      </c>
      <c r="F589" s="12">
        <f t="shared" si="18"/>
        <v>45909.700563958329</v>
      </c>
      <c r="G589" s="10" t="str">
        <f t="shared" si="19"/>
        <v>16:45:00</v>
      </c>
      <c r="H589" t="str">
        <f>LEFT(SearchData[[#This Row],[userId]],8)</f>
        <v>f676770a</v>
      </c>
    </row>
    <row r="590" spans="1:8">
      <c r="A590" t="s">
        <v>886</v>
      </c>
      <c r="B590" t="s">
        <v>487</v>
      </c>
      <c r="C590" s="5">
        <v>45910.055469918982</v>
      </c>
      <c r="D590">
        <v>6138</v>
      </c>
      <c r="E590" s="3" t="s">
        <v>302</v>
      </c>
      <c r="F590" s="12">
        <f t="shared" si="18"/>
        <v>45909.722136585646</v>
      </c>
      <c r="G590" s="10" t="str">
        <f t="shared" si="19"/>
        <v>17:15:00</v>
      </c>
      <c r="H590" t="str">
        <f>LEFT(SearchData[[#This Row],[userId]],8)</f>
        <v>f676770a</v>
      </c>
    </row>
    <row r="591" spans="1:8">
      <c r="A591" t="s">
        <v>887</v>
      </c>
      <c r="B591" s="1" t="s">
        <v>614</v>
      </c>
      <c r="C591" s="5">
        <v>45910.119757650464</v>
      </c>
      <c r="D591">
        <v>6138</v>
      </c>
      <c r="E591" s="3" t="s">
        <v>493</v>
      </c>
      <c r="F591" s="12">
        <f t="shared" si="18"/>
        <v>45909.786424317128</v>
      </c>
      <c r="G591" s="10" t="str">
        <f t="shared" si="19"/>
        <v>18:45:00</v>
      </c>
      <c r="H591" t="str">
        <f>LEFT(SearchData[[#This Row],[userId]],8)</f>
        <v>154e5978</v>
      </c>
    </row>
    <row r="592" spans="1:8">
      <c r="A592" t="s">
        <v>888</v>
      </c>
      <c r="B592" t="s">
        <v>137</v>
      </c>
      <c r="C592" s="5">
        <v>45910.134710902777</v>
      </c>
      <c r="D592">
        <v>6138</v>
      </c>
      <c r="E592" s="3" t="s">
        <v>889</v>
      </c>
      <c r="F592" s="12">
        <f t="shared" si="18"/>
        <v>45909.801377569442</v>
      </c>
      <c r="G592" s="10" t="str">
        <f t="shared" si="19"/>
        <v>19:15:00</v>
      </c>
      <c r="H592" t="str">
        <f>LEFT(SearchData[[#This Row],[userId]],8)</f>
        <v>fb7d1ae3</v>
      </c>
    </row>
    <row r="593" spans="1:8">
      <c r="A593" t="s">
        <v>890</v>
      </c>
      <c r="B593" t="s">
        <v>487</v>
      </c>
      <c r="C593" s="5">
        <v>45910.184278252316</v>
      </c>
      <c r="D593">
        <v>6138</v>
      </c>
      <c r="E593" s="3" t="s">
        <v>302</v>
      </c>
      <c r="F593" s="12">
        <f t="shared" si="18"/>
        <v>45909.850944918981</v>
      </c>
      <c r="G593" s="10" t="str">
        <f t="shared" si="19"/>
        <v>20:30:00</v>
      </c>
      <c r="H593" t="str">
        <f>LEFT(SearchData[[#This Row],[userId]],8)</f>
        <v>f676770a</v>
      </c>
    </row>
    <row r="594" spans="1:8">
      <c r="A594" t="s">
        <v>891</v>
      </c>
      <c r="B594" t="s">
        <v>487</v>
      </c>
      <c r="C594" s="5">
        <v>45910.232992847225</v>
      </c>
      <c r="D594">
        <v>6138</v>
      </c>
      <c r="E594" s="3" t="s">
        <v>493</v>
      </c>
      <c r="F594" s="12">
        <f t="shared" si="18"/>
        <v>45909.899659513889</v>
      </c>
      <c r="G594" s="10" t="str">
        <f t="shared" si="19"/>
        <v>21:30:00</v>
      </c>
      <c r="H594" t="str">
        <f>LEFT(SearchData[[#This Row],[userId]],8)</f>
        <v>f676770a</v>
      </c>
    </row>
    <row r="595" spans="1:8">
      <c r="A595" t="s">
        <v>892</v>
      </c>
      <c r="B595" t="s">
        <v>487</v>
      </c>
      <c r="C595" s="5">
        <v>45910.236018622687</v>
      </c>
      <c r="D595">
        <v>6138</v>
      </c>
      <c r="E595" s="3" t="s">
        <v>302</v>
      </c>
      <c r="F595" s="12">
        <f t="shared" si="18"/>
        <v>45909.902685289351</v>
      </c>
      <c r="G595" s="10" t="str">
        <f t="shared" si="19"/>
        <v>21:45:00</v>
      </c>
      <c r="H595" t="str">
        <f>LEFT(SearchData[[#This Row],[userId]],8)</f>
        <v>f676770a</v>
      </c>
    </row>
    <row r="596" spans="1:8">
      <c r="A596" t="s">
        <v>893</v>
      </c>
      <c r="B596" t="s">
        <v>487</v>
      </c>
      <c r="C596" s="5">
        <v>45910.257255474535</v>
      </c>
      <c r="D596">
        <v>6138</v>
      </c>
      <c r="E596" s="3" t="s">
        <v>302</v>
      </c>
      <c r="F596" s="12">
        <f t="shared" si="18"/>
        <v>45909.923922141199</v>
      </c>
      <c r="G596" s="10" t="str">
        <f t="shared" si="19"/>
        <v>22:15:00</v>
      </c>
      <c r="H596" t="str">
        <f>LEFT(SearchData[[#This Row],[userId]],8)</f>
        <v>f676770a</v>
      </c>
    </row>
    <row r="597" spans="1:8">
      <c r="A597" t="s">
        <v>894</v>
      </c>
      <c r="B597" s="1" t="s">
        <v>614</v>
      </c>
      <c r="C597" s="5">
        <v>45910.336142881948</v>
      </c>
      <c r="D597">
        <v>89830</v>
      </c>
      <c r="E597" s="3" t="s">
        <v>245</v>
      </c>
      <c r="F597" s="12">
        <f t="shared" si="18"/>
        <v>45910.002809548612</v>
      </c>
      <c r="G597" s="10" t="str">
        <f t="shared" si="19"/>
        <v>00:00:00</v>
      </c>
      <c r="H597" t="str">
        <f>LEFT(SearchData[[#This Row],[userId]],8)</f>
        <v>154e5978</v>
      </c>
    </row>
    <row r="598" spans="1:8">
      <c r="A598" t="s">
        <v>895</v>
      </c>
      <c r="B598" t="s">
        <v>137</v>
      </c>
      <c r="C598" s="5">
        <v>45910.644614872683</v>
      </c>
      <c r="D598">
        <v>6136</v>
      </c>
      <c r="E598" s="3" t="s">
        <v>896</v>
      </c>
      <c r="F598" s="12">
        <f t="shared" si="18"/>
        <v>45910.311281539347</v>
      </c>
      <c r="G598" s="10" t="str">
        <f t="shared" si="19"/>
        <v>07:30:00</v>
      </c>
      <c r="H598" t="str">
        <f>LEFT(SearchData[[#This Row],[userId]],8)</f>
        <v>fb7d1ae3</v>
      </c>
    </row>
    <row r="599" spans="1:8">
      <c r="A599" t="s">
        <v>897</v>
      </c>
      <c r="B599" t="s">
        <v>137</v>
      </c>
      <c r="C599" s="5">
        <v>45910.727065844905</v>
      </c>
      <c r="D599">
        <v>6141</v>
      </c>
      <c r="E599" s="3" t="s">
        <v>375</v>
      </c>
      <c r="F599" s="12">
        <f t="shared" si="18"/>
        <v>45910.393732511569</v>
      </c>
      <c r="G599" s="10" t="str">
        <f t="shared" si="19"/>
        <v>09:30:00</v>
      </c>
      <c r="H599" t="str">
        <f>LEFT(SearchData[[#This Row],[userId]],8)</f>
        <v>fb7d1ae3</v>
      </c>
    </row>
    <row r="600" spans="1:8">
      <c r="A600" s="1" t="s">
        <v>898</v>
      </c>
      <c r="B600" t="s">
        <v>137</v>
      </c>
      <c r="C600" s="5">
        <v>45910.761965185186</v>
      </c>
      <c r="D600">
        <v>134</v>
      </c>
      <c r="E600" s="3" t="s">
        <v>375</v>
      </c>
      <c r="F600" s="12">
        <f t="shared" si="18"/>
        <v>45910.42863185185</v>
      </c>
      <c r="G600" s="10" t="str">
        <f t="shared" si="19"/>
        <v>10:15:00</v>
      </c>
      <c r="H600" t="str">
        <f>LEFT(SearchData[[#This Row],[userId]],8)</f>
        <v>fb7d1ae3</v>
      </c>
    </row>
    <row r="601" spans="1:8">
      <c r="A601" t="s">
        <v>899</v>
      </c>
      <c r="B601" t="s">
        <v>443</v>
      </c>
      <c r="C601" s="5">
        <v>45910.896549780089</v>
      </c>
      <c r="D601">
        <v>6138</v>
      </c>
      <c r="E601" s="3" t="s">
        <v>14</v>
      </c>
      <c r="F601" s="12">
        <f t="shared" si="18"/>
        <v>45910.563216446753</v>
      </c>
      <c r="G601" s="10" t="str">
        <f t="shared" si="19"/>
        <v>13:30:00</v>
      </c>
      <c r="H601" t="str">
        <f>LEFT(SearchData[[#This Row],[userId]],8)</f>
        <v>65e0d73f</v>
      </c>
    </row>
    <row r="602" spans="1:8">
      <c r="A602" t="s">
        <v>900</v>
      </c>
      <c r="B602" s="1" t="s">
        <v>614</v>
      </c>
      <c r="C602" s="5">
        <v>45911.300553773151</v>
      </c>
      <c r="D602">
        <v>6139</v>
      </c>
      <c r="E602" s="3" t="s">
        <v>493</v>
      </c>
      <c r="F602" s="12">
        <f t="shared" si="18"/>
        <v>45910.967220439816</v>
      </c>
      <c r="G602" s="10" t="str">
        <f t="shared" si="19"/>
        <v>23:15:00</v>
      </c>
      <c r="H602" t="str">
        <f>LEFT(SearchData[[#This Row],[userId]],8)</f>
        <v>154e5978</v>
      </c>
    </row>
    <row r="603" spans="1:8">
      <c r="A603" t="s">
        <v>901</v>
      </c>
      <c r="B603" s="1" t="s">
        <v>614</v>
      </c>
      <c r="C603" s="5">
        <v>45911.428299907406</v>
      </c>
      <c r="D603">
        <v>6139</v>
      </c>
      <c r="E603" s="3" t="s">
        <v>493</v>
      </c>
      <c r="F603" s="12">
        <f t="shared" si="18"/>
        <v>45911.09496657407</v>
      </c>
      <c r="G603" s="10" t="str">
        <f t="shared" si="19"/>
        <v>02:15:00</v>
      </c>
      <c r="H603" t="str">
        <f>LEFT(SearchData[[#This Row],[userId]],8)</f>
        <v>154e5978</v>
      </c>
    </row>
    <row r="604" spans="1:8">
      <c r="A604" t="s">
        <v>902</v>
      </c>
      <c r="B604" t="s">
        <v>137</v>
      </c>
      <c r="C604" s="5">
        <v>45911.651955763889</v>
      </c>
      <c r="D604">
        <v>1</v>
      </c>
      <c r="E604" s="3" t="s">
        <v>375</v>
      </c>
      <c r="F604" s="12">
        <f t="shared" si="18"/>
        <v>45911.318622430554</v>
      </c>
      <c r="G604" s="10" t="str">
        <f t="shared" si="19"/>
        <v>07:45:00</v>
      </c>
      <c r="H604" t="str">
        <f>LEFT(SearchData[[#This Row],[userId]],8)</f>
        <v>fb7d1ae3</v>
      </c>
    </row>
    <row r="605" spans="1:8">
      <c r="A605" t="s">
        <v>903</v>
      </c>
      <c r="B605" t="s">
        <v>137</v>
      </c>
      <c r="C605" s="5">
        <v>45911.746353969909</v>
      </c>
      <c r="D605">
        <v>7046</v>
      </c>
      <c r="E605" s="3" t="s">
        <v>904</v>
      </c>
      <c r="F605" s="12">
        <f t="shared" si="18"/>
        <v>45911.413020636573</v>
      </c>
      <c r="G605" s="10" t="str">
        <f t="shared" si="19"/>
        <v>10:00:00</v>
      </c>
      <c r="H605" t="str">
        <f>LEFT(SearchData[[#This Row],[userId]],8)</f>
        <v>fb7d1ae3</v>
      </c>
    </row>
    <row r="606" spans="1:8">
      <c r="A606" t="s">
        <v>905</v>
      </c>
      <c r="B606" t="s">
        <v>137</v>
      </c>
      <c r="C606" s="5">
        <v>45911.756713240742</v>
      </c>
      <c r="D606">
        <v>7046</v>
      </c>
      <c r="E606" s="3" t="s">
        <v>904</v>
      </c>
      <c r="F606" s="12">
        <f t="shared" si="18"/>
        <v>45911.423379907406</v>
      </c>
      <c r="G606" s="10" t="str">
        <f t="shared" si="19"/>
        <v>10:15:00</v>
      </c>
      <c r="H606" t="str">
        <f>LEFT(SearchData[[#This Row],[userId]],8)</f>
        <v>fb7d1ae3</v>
      </c>
    </row>
    <row r="607" spans="1:8">
      <c r="A607" t="s">
        <v>906</v>
      </c>
      <c r="B607" t="s">
        <v>137</v>
      </c>
      <c r="C607" s="5">
        <v>45911.85291494213</v>
      </c>
      <c r="D607">
        <v>3</v>
      </c>
      <c r="E607" s="3" t="s">
        <v>904</v>
      </c>
      <c r="F607" s="12">
        <f t="shared" si="18"/>
        <v>45911.519581608794</v>
      </c>
      <c r="G607" s="10" t="str">
        <f t="shared" si="19"/>
        <v>12:30:00</v>
      </c>
      <c r="H607" t="str">
        <f>LEFT(SearchData[[#This Row],[userId]],8)</f>
        <v>fb7d1ae3</v>
      </c>
    </row>
    <row r="608" spans="1:8">
      <c r="A608" t="s">
        <v>907</v>
      </c>
      <c r="B608" t="s">
        <v>281</v>
      </c>
      <c r="C608" s="5">
        <v>45912.162515023148</v>
      </c>
      <c r="D608">
        <v>7042</v>
      </c>
      <c r="E608" s="3" t="s">
        <v>908</v>
      </c>
      <c r="F608" s="12">
        <f t="shared" si="18"/>
        <v>45911.829181689813</v>
      </c>
      <c r="G608" s="10" t="str">
        <f t="shared" si="19"/>
        <v>20:00:00</v>
      </c>
      <c r="H608" t="str">
        <f>LEFT(SearchData[[#This Row],[userId]],8)</f>
        <v>fc8596ff</v>
      </c>
    </row>
    <row r="609" spans="1:8">
      <c r="A609" t="s">
        <v>909</v>
      </c>
      <c r="B609" s="1" t="s">
        <v>614</v>
      </c>
      <c r="C609" s="5">
        <v>45912.266035960645</v>
      </c>
      <c r="D609">
        <v>7042</v>
      </c>
      <c r="E609" s="3" t="s">
        <v>493</v>
      </c>
      <c r="F609" s="12">
        <f t="shared" si="18"/>
        <v>45911.932702627309</v>
      </c>
      <c r="G609" s="10" t="str">
        <f t="shared" si="19"/>
        <v>22:30:00</v>
      </c>
      <c r="H609" t="str">
        <f>LEFT(SearchData[[#This Row],[userId]],8)</f>
        <v>154e5978</v>
      </c>
    </row>
    <row r="610" spans="1:8">
      <c r="A610" t="s">
        <v>910</v>
      </c>
      <c r="B610" t="s">
        <v>281</v>
      </c>
      <c r="C610" s="5">
        <v>45912.374606122685</v>
      </c>
      <c r="D610">
        <v>7042</v>
      </c>
      <c r="E610" s="3" t="s">
        <v>908</v>
      </c>
      <c r="F610" s="12">
        <f t="shared" si="18"/>
        <v>45912.041272789349</v>
      </c>
      <c r="G610" s="10" t="str">
        <f t="shared" si="19"/>
        <v>01:00:00</v>
      </c>
      <c r="H610" t="str">
        <f>LEFT(SearchData[[#This Row],[userId]],8)</f>
        <v>fc8596ff</v>
      </c>
    </row>
    <row r="611" spans="1:8">
      <c r="A611" t="s">
        <v>911</v>
      </c>
      <c r="B611" t="s">
        <v>137</v>
      </c>
      <c r="C611" s="5">
        <v>45912.619304675929</v>
      </c>
      <c r="D611">
        <v>0</v>
      </c>
      <c r="E611" s="3" t="s">
        <v>13</v>
      </c>
      <c r="F611" s="12">
        <f t="shared" si="18"/>
        <v>45912.285971342593</v>
      </c>
      <c r="G611" s="10" t="str">
        <f t="shared" si="19"/>
        <v>06:45:00</v>
      </c>
      <c r="H611" t="str">
        <f>LEFT(SearchData[[#This Row],[userId]],8)</f>
        <v>fb7d1ae3</v>
      </c>
    </row>
    <row r="612" spans="1:8">
      <c r="A612" t="s">
        <v>912</v>
      </c>
      <c r="B612" t="s">
        <v>137</v>
      </c>
      <c r="C612" s="5">
        <v>45912.942379687498</v>
      </c>
      <c r="D612">
        <v>7041</v>
      </c>
      <c r="E612" s="3" t="s">
        <v>14</v>
      </c>
      <c r="F612" s="12">
        <f t="shared" si="18"/>
        <v>45912.609046354162</v>
      </c>
      <c r="G612" s="10" t="str">
        <f t="shared" si="19"/>
        <v>14:30:00</v>
      </c>
      <c r="H612" t="str">
        <f>LEFT(SearchData[[#This Row],[userId]],8)</f>
        <v>fb7d1ae3</v>
      </c>
    </row>
    <row r="613" spans="1:8">
      <c r="A613" t="s">
        <v>913</v>
      </c>
      <c r="B613" t="s">
        <v>137</v>
      </c>
      <c r="C613" s="5">
        <v>45912.946478715276</v>
      </c>
      <c r="D613">
        <v>7041</v>
      </c>
      <c r="E613" s="3" t="s">
        <v>182</v>
      </c>
      <c r="F613" s="12">
        <f t="shared" si="18"/>
        <v>45912.61314538194</v>
      </c>
      <c r="G613" s="10" t="str">
        <f t="shared" si="19"/>
        <v>14:45:00</v>
      </c>
      <c r="H613" t="str">
        <f>LEFT(SearchData[[#This Row],[userId]],8)</f>
        <v>fb7d1ae3</v>
      </c>
    </row>
    <row r="614" spans="1:8">
      <c r="A614" t="s">
        <v>914</v>
      </c>
      <c r="B614" t="s">
        <v>281</v>
      </c>
      <c r="C614" s="5">
        <v>45913.004978437501</v>
      </c>
      <c r="D614">
        <v>7041</v>
      </c>
      <c r="E614" s="3" t="s">
        <v>182</v>
      </c>
      <c r="F614" s="12">
        <f t="shared" si="18"/>
        <v>45912.671645104165</v>
      </c>
      <c r="G614" s="10" t="str">
        <f t="shared" si="19"/>
        <v>16:00:00</v>
      </c>
      <c r="H614" t="str">
        <f>LEFT(SearchData[[#This Row],[userId]],8)</f>
        <v>fc8596ff</v>
      </c>
    </row>
    <row r="615" spans="1:8">
      <c r="A615" t="s">
        <v>915</v>
      </c>
      <c r="B615" s="1" t="s">
        <v>614</v>
      </c>
      <c r="C615" s="5">
        <v>45913.68021042824</v>
      </c>
      <c r="D615">
        <v>7041</v>
      </c>
      <c r="E615" s="3" t="s">
        <v>493</v>
      </c>
      <c r="F615" s="12">
        <f t="shared" si="18"/>
        <v>45913.346877094904</v>
      </c>
      <c r="G615" s="10" t="str">
        <f t="shared" si="19"/>
        <v>08:15:00</v>
      </c>
      <c r="H615" t="str">
        <f>LEFT(SearchData[[#This Row],[userId]],8)</f>
        <v>154e5978</v>
      </c>
    </row>
    <row r="616" spans="1:8">
      <c r="A616" t="s">
        <v>916</v>
      </c>
      <c r="B616" s="1" t="s">
        <v>614</v>
      </c>
      <c r="C616" s="5">
        <v>45913.80182508102</v>
      </c>
      <c r="D616">
        <v>7043</v>
      </c>
      <c r="E616" s="3" t="s">
        <v>493</v>
      </c>
      <c r="F616" s="12">
        <f t="shared" si="18"/>
        <v>45913.468491747684</v>
      </c>
      <c r="G616" s="10" t="str">
        <f t="shared" si="19"/>
        <v>11:15:00</v>
      </c>
      <c r="H616" t="str">
        <f>LEFT(SearchData[[#This Row],[userId]],8)</f>
        <v>154e5978</v>
      </c>
    </row>
    <row r="617" spans="1:8">
      <c r="A617" t="s">
        <v>917</v>
      </c>
      <c r="B617" t="s">
        <v>638</v>
      </c>
      <c r="C617" s="5">
        <v>45914.252022083332</v>
      </c>
      <c r="D617">
        <v>7043</v>
      </c>
      <c r="E617" s="3" t="s">
        <v>9</v>
      </c>
      <c r="F617" s="12">
        <f t="shared" si="18"/>
        <v>45913.918688749996</v>
      </c>
      <c r="G617" s="10" t="str">
        <f t="shared" si="19"/>
        <v>22:00:00</v>
      </c>
      <c r="H617" t="str">
        <f>LEFT(SearchData[[#This Row],[userId]],8)</f>
        <v>ad0cce28</v>
      </c>
    </row>
    <row r="618" spans="1:8">
      <c r="A618" t="s">
        <v>918</v>
      </c>
      <c r="B618" t="s">
        <v>638</v>
      </c>
      <c r="C618" s="5">
        <v>45914.299756608794</v>
      </c>
      <c r="D618">
        <v>7043</v>
      </c>
      <c r="E618" s="3" t="s">
        <v>229</v>
      </c>
      <c r="F618" s="12">
        <f t="shared" si="18"/>
        <v>45913.966423275459</v>
      </c>
      <c r="G618" s="10" t="str">
        <f t="shared" si="19"/>
        <v>23:15:00</v>
      </c>
      <c r="H618" t="str">
        <f>LEFT(SearchData[[#This Row],[userId]],8)</f>
        <v>ad0cce28</v>
      </c>
    </row>
    <row r="619" spans="1:8">
      <c r="A619" t="s">
        <v>919</v>
      </c>
      <c r="B619" t="s">
        <v>420</v>
      </c>
      <c r="C619" s="5">
        <v>45914.351417673613</v>
      </c>
      <c r="D619">
        <v>7043</v>
      </c>
      <c r="E619" s="3" t="s">
        <v>416</v>
      </c>
      <c r="F619" s="12">
        <f t="shared" si="18"/>
        <v>45914.018084340278</v>
      </c>
      <c r="G619" s="10" t="str">
        <f t="shared" si="19"/>
        <v>00:30:00</v>
      </c>
      <c r="H619" t="str">
        <f>LEFT(SearchData[[#This Row],[userId]],8)</f>
        <v>6d2d86c1</v>
      </c>
    </row>
    <row r="620" spans="1:8">
      <c r="A620" t="s">
        <v>920</v>
      </c>
      <c r="B620" t="s">
        <v>420</v>
      </c>
      <c r="C620" s="5">
        <v>45914.352356550924</v>
      </c>
      <c r="D620">
        <v>7043</v>
      </c>
      <c r="E620" s="3" t="s">
        <v>186</v>
      </c>
      <c r="F620" s="12">
        <f t="shared" si="18"/>
        <v>45914.019023217588</v>
      </c>
      <c r="G620" s="10" t="str">
        <f t="shared" si="19"/>
        <v>00:30:00</v>
      </c>
      <c r="H620" t="str">
        <f>LEFT(SearchData[[#This Row],[userId]],8)</f>
        <v>6d2d86c1</v>
      </c>
    </row>
    <row r="621" spans="1:8">
      <c r="A621" t="s">
        <v>921</v>
      </c>
      <c r="B621" t="s">
        <v>638</v>
      </c>
      <c r="C621" s="5">
        <v>45914.380153287035</v>
      </c>
      <c r="D621">
        <v>7043</v>
      </c>
      <c r="E621" s="3" t="s">
        <v>229</v>
      </c>
      <c r="F621" s="12">
        <f t="shared" si="18"/>
        <v>45914.046819953699</v>
      </c>
      <c r="G621" s="10" t="str">
        <f t="shared" si="19"/>
        <v>01:00:00</v>
      </c>
      <c r="H621" t="str">
        <f>LEFT(SearchData[[#This Row],[userId]],8)</f>
        <v>ad0cce28</v>
      </c>
    </row>
    <row r="622" spans="1:8">
      <c r="A622" t="s">
        <v>922</v>
      </c>
      <c r="B622" t="s">
        <v>206</v>
      </c>
      <c r="C622" s="5">
        <v>45914.409556851853</v>
      </c>
      <c r="D622">
        <v>7043</v>
      </c>
      <c r="E622" s="3" t="s">
        <v>923</v>
      </c>
      <c r="F622" s="12">
        <f t="shared" si="18"/>
        <v>45914.076223518518</v>
      </c>
      <c r="G622" s="10" t="str">
        <f t="shared" si="19"/>
        <v>01:45:00</v>
      </c>
      <c r="H622" t="str">
        <f>LEFT(SearchData[[#This Row],[userId]],8)</f>
        <v>d6f7ed99</v>
      </c>
    </row>
    <row r="623" spans="1:8">
      <c r="A623" t="s">
        <v>924</v>
      </c>
      <c r="B623" t="s">
        <v>206</v>
      </c>
      <c r="C623" s="5">
        <v>45914.413211574072</v>
      </c>
      <c r="D623">
        <v>7043</v>
      </c>
      <c r="E623" s="3" t="s">
        <v>925</v>
      </c>
      <c r="F623" s="12">
        <f t="shared" si="18"/>
        <v>45914.079878240736</v>
      </c>
      <c r="G623" s="10" t="str">
        <f t="shared" si="19"/>
        <v>02:00:00</v>
      </c>
      <c r="H623" t="str">
        <f>LEFT(SearchData[[#This Row],[userId]],8)</f>
        <v>d6f7ed99</v>
      </c>
    </row>
    <row r="624" spans="1:8">
      <c r="A624" t="s">
        <v>926</v>
      </c>
      <c r="B624" t="s">
        <v>206</v>
      </c>
      <c r="C624" s="5">
        <v>45914.418623587961</v>
      </c>
      <c r="D624">
        <v>7043</v>
      </c>
      <c r="E624" s="3" t="s">
        <v>927</v>
      </c>
      <c r="F624" s="12">
        <f t="shared" si="18"/>
        <v>45914.085290254625</v>
      </c>
      <c r="G624" s="10" t="str">
        <f t="shared" si="19"/>
        <v>02:00:00</v>
      </c>
      <c r="H624" t="str">
        <f>LEFT(SearchData[[#This Row],[userId]],8)</f>
        <v>d6f7ed99</v>
      </c>
    </row>
    <row r="625" spans="1:8">
      <c r="A625" t="s">
        <v>928</v>
      </c>
      <c r="B625" t="s">
        <v>487</v>
      </c>
      <c r="C625" s="5">
        <v>45915.164808946756</v>
      </c>
      <c r="D625">
        <v>7043</v>
      </c>
      <c r="E625" s="3" t="s">
        <v>296</v>
      </c>
      <c r="F625" s="12">
        <f t="shared" si="18"/>
        <v>45914.83147561342</v>
      </c>
      <c r="G625" s="10" t="str">
        <f t="shared" si="19"/>
        <v>20:00:00</v>
      </c>
      <c r="H625" t="str">
        <f>LEFT(SearchData[[#This Row],[userId]],8)</f>
        <v>f676770a</v>
      </c>
    </row>
    <row r="626" spans="1:8">
      <c r="A626" t="s">
        <v>929</v>
      </c>
      <c r="B626" t="s">
        <v>638</v>
      </c>
      <c r="C626" s="5">
        <v>45915.298264710647</v>
      </c>
      <c r="D626">
        <v>7043</v>
      </c>
      <c r="E626" s="3" t="s">
        <v>229</v>
      </c>
      <c r="F626" s="12">
        <f t="shared" si="18"/>
        <v>45914.964931377312</v>
      </c>
      <c r="G626" s="10" t="str">
        <f t="shared" si="19"/>
        <v>23:15:00</v>
      </c>
      <c r="H626" t="str">
        <f>LEFT(SearchData[[#This Row],[userId]],8)</f>
        <v>ad0cce28</v>
      </c>
    </row>
    <row r="627" spans="1:8">
      <c r="A627" t="s">
        <v>930</v>
      </c>
      <c r="B627" t="s">
        <v>487</v>
      </c>
      <c r="C627" s="5">
        <v>45915.459844004632</v>
      </c>
      <c r="D627">
        <v>7043</v>
      </c>
      <c r="E627" s="3" t="s">
        <v>296</v>
      </c>
      <c r="F627" s="12">
        <f t="shared" si="18"/>
        <v>45915.126510671296</v>
      </c>
      <c r="G627" s="10" t="str">
        <f t="shared" si="19"/>
        <v>03:00:00</v>
      </c>
      <c r="H627" t="str">
        <f>LEFT(SearchData[[#This Row],[userId]],8)</f>
        <v>f676770a</v>
      </c>
    </row>
    <row r="628" spans="1:8">
      <c r="A628" t="s">
        <v>931</v>
      </c>
      <c r="B628" s="1" t="s">
        <v>614</v>
      </c>
      <c r="C628" s="5">
        <v>45915.679302997683</v>
      </c>
      <c r="D628">
        <v>7043</v>
      </c>
      <c r="E628" s="3" t="s">
        <v>493</v>
      </c>
      <c r="F628" s="12">
        <f t="shared" si="18"/>
        <v>45915.345969664348</v>
      </c>
      <c r="G628" s="10" t="str">
        <f t="shared" si="19"/>
        <v>08:15:00</v>
      </c>
      <c r="H628" t="str">
        <f>LEFT(SearchData[[#This Row],[userId]],8)</f>
        <v>154e5978</v>
      </c>
    </row>
    <row r="629" spans="1:8">
      <c r="A629" t="s">
        <v>932</v>
      </c>
      <c r="B629" t="s">
        <v>137</v>
      </c>
      <c r="C629" s="5">
        <v>45915.74767517361</v>
      </c>
      <c r="D629">
        <v>7045</v>
      </c>
      <c r="E629" s="3" t="s">
        <v>182</v>
      </c>
      <c r="F629" s="12">
        <f t="shared" si="18"/>
        <v>45915.414341840275</v>
      </c>
      <c r="G629" s="10" t="str">
        <f t="shared" si="19"/>
        <v>10:00:00</v>
      </c>
      <c r="H629" t="str">
        <f>LEFT(SearchData[[#This Row],[userId]],8)</f>
        <v>fb7d1ae3</v>
      </c>
    </row>
    <row r="630" spans="1:8">
      <c r="A630" t="s">
        <v>933</v>
      </c>
      <c r="B630" t="s">
        <v>137</v>
      </c>
      <c r="C630" s="5">
        <v>45915.747893310188</v>
      </c>
      <c r="D630">
        <v>7045</v>
      </c>
      <c r="E630" s="3" t="s">
        <v>13</v>
      </c>
      <c r="F630" s="12">
        <f t="shared" si="18"/>
        <v>45915.414559976853</v>
      </c>
      <c r="G630" s="10" t="str">
        <f t="shared" si="19"/>
        <v>10:00:00</v>
      </c>
      <c r="H630" t="str">
        <f>LEFT(SearchData[[#This Row],[userId]],8)</f>
        <v>fb7d1ae3</v>
      </c>
    </row>
    <row r="631" spans="1:8">
      <c r="A631" t="s">
        <v>934</v>
      </c>
      <c r="B631" t="s">
        <v>137</v>
      </c>
      <c r="C631" s="5">
        <v>45915.761504756942</v>
      </c>
      <c r="D631">
        <v>7045</v>
      </c>
      <c r="E631" s="3" t="s">
        <v>13</v>
      </c>
      <c r="F631" s="12">
        <f t="shared" si="18"/>
        <v>45915.428171423606</v>
      </c>
      <c r="G631" s="10" t="str">
        <f t="shared" si="19"/>
        <v>10:15:00</v>
      </c>
      <c r="H631" t="str">
        <f>LEFT(SearchData[[#This Row],[userId]],8)</f>
        <v>fb7d1ae3</v>
      </c>
    </row>
    <row r="632" spans="1:8">
      <c r="A632" t="s">
        <v>935</v>
      </c>
      <c r="B632" t="s">
        <v>443</v>
      </c>
      <c r="C632" s="5">
        <v>45915.871269340278</v>
      </c>
      <c r="D632">
        <v>7041</v>
      </c>
      <c r="E632" s="3" t="s">
        <v>14</v>
      </c>
      <c r="F632" s="12">
        <f t="shared" si="18"/>
        <v>45915.537936006942</v>
      </c>
      <c r="G632" s="10" t="str">
        <f t="shared" si="19"/>
        <v>13:00:00</v>
      </c>
      <c r="H632" t="str">
        <f>LEFT(SearchData[[#This Row],[userId]],8)</f>
        <v>65e0d73f</v>
      </c>
    </row>
    <row r="633" spans="1:8">
      <c r="A633" t="s">
        <v>936</v>
      </c>
      <c r="B633" t="s">
        <v>699</v>
      </c>
      <c r="C633" s="5">
        <v>45916.108423148151</v>
      </c>
      <c r="D633">
        <v>0</v>
      </c>
      <c r="E633" s="3" t="s">
        <v>13</v>
      </c>
      <c r="F633" s="12">
        <f t="shared" si="18"/>
        <v>45915.775089814815</v>
      </c>
      <c r="G633" s="10" t="str">
        <f t="shared" si="19"/>
        <v>18:30:00</v>
      </c>
      <c r="H633" t="str">
        <f>LEFT(SearchData[[#This Row],[userId]],8)</f>
        <v>afc40c1e</v>
      </c>
    </row>
    <row r="634" spans="1:8">
      <c r="A634" t="s">
        <v>937</v>
      </c>
      <c r="B634" t="s">
        <v>699</v>
      </c>
      <c r="C634" s="5">
        <v>45916.109267546293</v>
      </c>
      <c r="D634">
        <v>7042</v>
      </c>
      <c r="E634" s="3" t="s">
        <v>938</v>
      </c>
      <c r="F634" s="12">
        <f t="shared" si="18"/>
        <v>45915.775934212958</v>
      </c>
      <c r="G634" s="10" t="str">
        <f t="shared" si="19"/>
        <v>18:30:00</v>
      </c>
      <c r="H634" t="str">
        <f>LEFT(SearchData[[#This Row],[userId]],8)</f>
        <v>afc40c1e</v>
      </c>
    </row>
    <row r="635" spans="1:8">
      <c r="A635" t="s">
        <v>939</v>
      </c>
      <c r="B635" t="s">
        <v>638</v>
      </c>
      <c r="C635" s="5">
        <v>45916.120884189811</v>
      </c>
      <c r="D635">
        <v>7056</v>
      </c>
      <c r="E635" s="3" t="s">
        <v>229</v>
      </c>
      <c r="F635" s="12">
        <f t="shared" si="18"/>
        <v>45915.787550856476</v>
      </c>
      <c r="G635" s="10" t="str">
        <f t="shared" si="19"/>
        <v>19:00:00</v>
      </c>
      <c r="H635" t="str">
        <f>LEFT(SearchData[[#This Row],[userId]],8)</f>
        <v>ad0cce28</v>
      </c>
    </row>
    <row r="636" spans="1:8">
      <c r="A636" t="s">
        <v>940</v>
      </c>
      <c r="B636" t="s">
        <v>638</v>
      </c>
      <c r="C636" s="5">
        <v>45916.138971064815</v>
      </c>
      <c r="D636">
        <v>7056</v>
      </c>
      <c r="E636" s="3" t="s">
        <v>229</v>
      </c>
      <c r="F636" s="12">
        <f t="shared" si="18"/>
        <v>45915.805637731479</v>
      </c>
      <c r="G636" s="10" t="str">
        <f t="shared" si="19"/>
        <v>19:15:00</v>
      </c>
      <c r="H636" t="str">
        <f>LEFT(SearchData[[#This Row],[userId]],8)</f>
        <v>ad0cce28</v>
      </c>
    </row>
    <row r="637" spans="1:8">
      <c r="A637" t="s">
        <v>941</v>
      </c>
      <c r="B637" t="s">
        <v>487</v>
      </c>
      <c r="C637" s="5">
        <v>45916.186693680553</v>
      </c>
      <c r="D637">
        <v>7042</v>
      </c>
      <c r="E637" s="3" t="s">
        <v>129</v>
      </c>
      <c r="F637" s="12">
        <f t="shared" si="18"/>
        <v>45915.853360347217</v>
      </c>
      <c r="G637" s="10" t="str">
        <f t="shared" si="19"/>
        <v>20:30:00</v>
      </c>
      <c r="H637" t="str">
        <f>LEFT(SearchData[[#This Row],[userId]],8)</f>
        <v>f676770a</v>
      </c>
    </row>
    <row r="638" spans="1:8">
      <c r="A638" t="s">
        <v>942</v>
      </c>
      <c r="B638" t="s">
        <v>289</v>
      </c>
      <c r="C638" s="5">
        <v>45916.187843645836</v>
      </c>
      <c r="D638">
        <v>0</v>
      </c>
      <c r="E638" s="3" t="s">
        <v>943</v>
      </c>
      <c r="F638" s="12">
        <f t="shared" si="18"/>
        <v>45915.8545103125</v>
      </c>
      <c r="G638" s="10" t="str">
        <f t="shared" si="19"/>
        <v>20:30:00</v>
      </c>
      <c r="H638" t="str">
        <f>LEFT(SearchData[[#This Row],[userId]],8)</f>
        <v>5db0b69a</v>
      </c>
    </row>
    <row r="639" spans="1:8">
      <c r="A639" t="s">
        <v>944</v>
      </c>
      <c r="B639" t="s">
        <v>289</v>
      </c>
      <c r="C639" s="5">
        <v>45916.188174537034</v>
      </c>
      <c r="D639">
        <v>7042</v>
      </c>
      <c r="E639" s="3" t="s">
        <v>945</v>
      </c>
      <c r="F639" s="12">
        <f t="shared" si="18"/>
        <v>45915.854841203698</v>
      </c>
      <c r="G639" s="10" t="str">
        <f t="shared" si="19"/>
        <v>20:30:00</v>
      </c>
      <c r="H639" t="str">
        <f>LEFT(SearchData[[#This Row],[userId]],8)</f>
        <v>5db0b69a</v>
      </c>
    </row>
    <row r="640" spans="1:8">
      <c r="A640" t="s">
        <v>946</v>
      </c>
      <c r="B640" t="s">
        <v>289</v>
      </c>
      <c r="C640" s="5">
        <v>45916.219938055554</v>
      </c>
      <c r="D640">
        <v>7042</v>
      </c>
      <c r="E640" s="3" t="s">
        <v>945</v>
      </c>
      <c r="F640" s="12">
        <f t="shared" si="18"/>
        <v>45915.886604722218</v>
      </c>
      <c r="G640" s="10" t="str">
        <f t="shared" si="19"/>
        <v>21:15:00</v>
      </c>
      <c r="H640" t="str">
        <f>LEFT(SearchData[[#This Row],[userId]],8)</f>
        <v>5db0b69a</v>
      </c>
    </row>
    <row r="641" spans="1:8">
      <c r="A641" t="s">
        <v>947</v>
      </c>
      <c r="B641" t="s">
        <v>487</v>
      </c>
      <c r="C641" s="5">
        <v>45916.22289527778</v>
      </c>
      <c r="D641">
        <v>7042</v>
      </c>
      <c r="E641" s="3" t="s">
        <v>296</v>
      </c>
      <c r="F641" s="12">
        <f t="shared" si="18"/>
        <v>45915.889561944445</v>
      </c>
      <c r="G641" s="10" t="str">
        <f t="shared" si="19"/>
        <v>21:15:00</v>
      </c>
      <c r="H641" t="str">
        <f>LEFT(SearchData[[#This Row],[userId]],8)</f>
        <v>f676770a</v>
      </c>
    </row>
    <row r="642" spans="1:8">
      <c r="A642" t="s">
        <v>948</v>
      </c>
      <c r="B642" t="s">
        <v>487</v>
      </c>
      <c r="C642" s="5">
        <v>45916.257132534723</v>
      </c>
      <c r="D642">
        <v>7042</v>
      </c>
      <c r="E642" s="3" t="s">
        <v>296</v>
      </c>
      <c r="F642" s="12">
        <f t="shared" ref="F642:F705" si="20">C642-TIME(8,0,0)</f>
        <v>45915.923799201388</v>
      </c>
      <c r="G642" s="10" t="str">
        <f t="shared" ref="G642:G705" si="21">TEXT(MROUND(C642-TIME(8,0,0), "0:15"),"HH:MM:SS")</f>
        <v>22:15:00</v>
      </c>
      <c r="H642" t="str">
        <f>LEFT(SearchData[[#This Row],[userId]],8)</f>
        <v>f676770a</v>
      </c>
    </row>
    <row r="643" spans="1:8">
      <c r="A643" s="1" t="s">
        <v>949</v>
      </c>
      <c r="B643" t="s">
        <v>487</v>
      </c>
      <c r="C643" s="5">
        <v>45916.301708043982</v>
      </c>
      <c r="D643">
        <v>7042</v>
      </c>
      <c r="E643" s="3" t="s">
        <v>296</v>
      </c>
      <c r="F643" s="12">
        <f t="shared" si="20"/>
        <v>45915.968374710646</v>
      </c>
      <c r="G643" s="10" t="str">
        <f t="shared" si="21"/>
        <v>23:15:00</v>
      </c>
      <c r="H643" t="str">
        <f>LEFT(SearchData[[#This Row],[userId]],8)</f>
        <v>f676770a</v>
      </c>
    </row>
    <row r="644" spans="1:8">
      <c r="A644" t="s">
        <v>950</v>
      </c>
      <c r="B644" s="1" t="s">
        <v>614</v>
      </c>
      <c r="C644" s="5">
        <v>45916.884514027777</v>
      </c>
      <c r="D644">
        <v>7045</v>
      </c>
      <c r="E644" s="3" t="s">
        <v>493</v>
      </c>
      <c r="F644" s="12">
        <f t="shared" si="20"/>
        <v>45916.551180694441</v>
      </c>
      <c r="G644" s="10" t="str">
        <f t="shared" si="21"/>
        <v>13:15:00</v>
      </c>
      <c r="H644" t="str">
        <f>LEFT(SearchData[[#This Row],[userId]],8)</f>
        <v>154e5978</v>
      </c>
    </row>
    <row r="645" spans="1:8">
      <c r="A645" t="s">
        <v>951</v>
      </c>
      <c r="B645" t="s">
        <v>289</v>
      </c>
      <c r="C645" s="5">
        <v>45917.043425358796</v>
      </c>
      <c r="D645">
        <v>0</v>
      </c>
      <c r="E645" s="3" t="s">
        <v>952</v>
      </c>
      <c r="F645" s="12">
        <f t="shared" si="20"/>
        <v>45916.71009202546</v>
      </c>
      <c r="G645" s="10" t="str">
        <f t="shared" si="21"/>
        <v>17:00:00</v>
      </c>
      <c r="H645" t="str">
        <f>LEFT(SearchData[[#This Row],[userId]],8)</f>
        <v>5db0b69a</v>
      </c>
    </row>
    <row r="646" spans="1:8">
      <c r="A646" t="s">
        <v>953</v>
      </c>
      <c r="B646" t="s">
        <v>289</v>
      </c>
      <c r="C646" s="5">
        <v>45917.043743506947</v>
      </c>
      <c r="D646">
        <v>7047</v>
      </c>
      <c r="E646" s="3" t="s">
        <v>954</v>
      </c>
      <c r="F646" s="12">
        <f t="shared" si="20"/>
        <v>45916.710410173611</v>
      </c>
      <c r="G646" s="10" t="str">
        <f t="shared" si="21"/>
        <v>17:00:00</v>
      </c>
      <c r="H646" t="str">
        <f>LEFT(SearchData[[#This Row],[userId]],8)</f>
        <v>5db0b69a</v>
      </c>
    </row>
    <row r="647" spans="1:8">
      <c r="A647" t="s">
        <v>955</v>
      </c>
      <c r="B647" t="s">
        <v>289</v>
      </c>
      <c r="C647" s="5">
        <v>45917.086183587962</v>
      </c>
      <c r="D647">
        <v>7047</v>
      </c>
      <c r="E647" s="3" t="s">
        <v>954</v>
      </c>
      <c r="F647" s="12">
        <f t="shared" si="20"/>
        <v>45916.752850254627</v>
      </c>
      <c r="G647" s="10" t="str">
        <f t="shared" si="21"/>
        <v>18:00:00</v>
      </c>
      <c r="H647" t="str">
        <f>LEFT(SearchData[[#This Row],[userId]],8)</f>
        <v>5db0b69a</v>
      </c>
    </row>
    <row r="648" spans="1:8">
      <c r="A648" t="s">
        <v>956</v>
      </c>
      <c r="B648" s="1" t="s">
        <v>614</v>
      </c>
      <c r="C648" s="5">
        <v>45917.268364837961</v>
      </c>
      <c r="D648">
        <v>7047</v>
      </c>
      <c r="E648" s="3" t="s">
        <v>493</v>
      </c>
      <c r="F648" s="12">
        <f t="shared" si="20"/>
        <v>45916.935031504625</v>
      </c>
      <c r="G648" s="10" t="str">
        <f t="shared" si="21"/>
        <v>22:30:00</v>
      </c>
      <c r="H648" t="str">
        <f>LEFT(SearchData[[#This Row],[userId]],8)</f>
        <v>154e5978</v>
      </c>
    </row>
    <row r="649" spans="1:8">
      <c r="A649" t="s">
        <v>957</v>
      </c>
      <c r="B649" s="1" t="s">
        <v>614</v>
      </c>
      <c r="C649" s="5">
        <v>45917.294271250001</v>
      </c>
      <c r="D649">
        <v>7047</v>
      </c>
      <c r="E649" s="3" t="s">
        <v>493</v>
      </c>
      <c r="F649" s="12">
        <f t="shared" si="20"/>
        <v>45916.960937916665</v>
      </c>
      <c r="G649" s="10" t="str">
        <f t="shared" si="21"/>
        <v>23:00:00</v>
      </c>
      <c r="H649" t="str">
        <f>LEFT(SearchData[[#This Row],[userId]],8)</f>
        <v>154e5978</v>
      </c>
    </row>
    <row r="650" spans="1:8">
      <c r="A650" t="s">
        <v>958</v>
      </c>
      <c r="B650" s="1" t="s">
        <v>614</v>
      </c>
      <c r="C650" s="5">
        <v>45917.343197152775</v>
      </c>
      <c r="D650">
        <v>7047</v>
      </c>
      <c r="E650" s="3" t="s">
        <v>493</v>
      </c>
      <c r="F650" s="12">
        <f t="shared" si="20"/>
        <v>45917.009863819439</v>
      </c>
      <c r="G650" s="10" t="str">
        <f t="shared" si="21"/>
        <v>00:15:00</v>
      </c>
      <c r="H650" t="str">
        <f>LEFT(SearchData[[#This Row],[userId]],8)</f>
        <v>154e5978</v>
      </c>
    </row>
    <row r="651" spans="1:8">
      <c r="A651" t="s">
        <v>959</v>
      </c>
      <c r="B651" s="1" t="s">
        <v>614</v>
      </c>
      <c r="C651" s="5">
        <v>45917.442135555553</v>
      </c>
      <c r="D651">
        <v>7047</v>
      </c>
      <c r="E651" s="3" t="s">
        <v>493</v>
      </c>
      <c r="F651" s="12">
        <f t="shared" si="20"/>
        <v>45917.108802222217</v>
      </c>
      <c r="G651" s="10" t="str">
        <f t="shared" si="21"/>
        <v>02:30:00</v>
      </c>
      <c r="H651" t="str">
        <f>LEFT(SearchData[[#This Row],[userId]],8)</f>
        <v>154e5978</v>
      </c>
    </row>
    <row r="652" spans="1:8">
      <c r="A652" t="s">
        <v>960</v>
      </c>
      <c r="B652" s="1" t="s">
        <v>614</v>
      </c>
      <c r="C652" s="5">
        <v>45917.944134027777</v>
      </c>
      <c r="D652">
        <v>7006</v>
      </c>
      <c r="E652" s="3" t="s">
        <v>493</v>
      </c>
      <c r="F652" s="12">
        <f t="shared" si="20"/>
        <v>45917.610800694441</v>
      </c>
      <c r="G652" s="10" t="str">
        <f t="shared" si="21"/>
        <v>14:45:00</v>
      </c>
      <c r="H652" t="str">
        <f>LEFT(SearchData[[#This Row],[userId]],8)</f>
        <v>154e5978</v>
      </c>
    </row>
    <row r="653" spans="1:8">
      <c r="A653" t="s">
        <v>961</v>
      </c>
      <c r="B653" s="1" t="s">
        <v>614</v>
      </c>
      <c r="C653" s="5">
        <v>45918.016224965279</v>
      </c>
      <c r="D653">
        <v>91617</v>
      </c>
      <c r="E653" s="3" t="s">
        <v>493</v>
      </c>
      <c r="F653" s="12">
        <f t="shared" si="20"/>
        <v>45917.682891631943</v>
      </c>
      <c r="G653" s="10" t="str">
        <f t="shared" si="21"/>
        <v>16:30:00</v>
      </c>
      <c r="H653" t="str">
        <f>LEFT(SearchData[[#This Row],[userId]],8)</f>
        <v>154e5978</v>
      </c>
    </row>
    <row r="654" spans="1:8">
      <c r="A654" t="s">
        <v>962</v>
      </c>
      <c r="B654" t="s">
        <v>137</v>
      </c>
      <c r="C654" s="5">
        <v>45918.021206516205</v>
      </c>
      <c r="D654">
        <v>7006</v>
      </c>
      <c r="E654" s="3" t="s">
        <v>963</v>
      </c>
      <c r="F654" s="12">
        <f t="shared" si="20"/>
        <v>45917.687873182869</v>
      </c>
      <c r="G654" s="10" t="str">
        <f t="shared" si="21"/>
        <v>16:30:00</v>
      </c>
      <c r="H654" t="str">
        <f>LEFT(SearchData[[#This Row],[userId]],8)</f>
        <v>fb7d1ae3</v>
      </c>
    </row>
    <row r="655" spans="1:8">
      <c r="A655" t="s">
        <v>964</v>
      </c>
      <c r="B655" s="1" t="s">
        <v>614</v>
      </c>
      <c r="C655" s="5">
        <v>45918.07037666667</v>
      </c>
      <c r="D655">
        <v>7006</v>
      </c>
      <c r="E655" s="3" t="s">
        <v>493</v>
      </c>
      <c r="F655" s="12">
        <f t="shared" si="20"/>
        <v>45917.737043333334</v>
      </c>
      <c r="G655" s="10" t="str">
        <f t="shared" si="21"/>
        <v>17:45:00</v>
      </c>
      <c r="H655" t="str">
        <f>LEFT(SearchData[[#This Row],[userId]],8)</f>
        <v>154e5978</v>
      </c>
    </row>
    <row r="656" spans="1:8">
      <c r="A656" t="s">
        <v>965</v>
      </c>
      <c r="B656" s="1" t="s">
        <v>614</v>
      </c>
      <c r="C656" s="5">
        <v>45918.291087592595</v>
      </c>
      <c r="D656">
        <v>7006</v>
      </c>
      <c r="E656" s="3" t="s">
        <v>493</v>
      </c>
      <c r="F656" s="12">
        <f t="shared" si="20"/>
        <v>45917.95775425926</v>
      </c>
      <c r="G656" s="10" t="str">
        <f t="shared" si="21"/>
        <v>23:00:00</v>
      </c>
      <c r="H656" t="str">
        <f>LEFT(SearchData[[#This Row],[userId]],8)</f>
        <v>154e5978</v>
      </c>
    </row>
    <row r="657" spans="1:8">
      <c r="A657" t="s">
        <v>966</v>
      </c>
      <c r="B657" s="1" t="s">
        <v>614</v>
      </c>
      <c r="C657" s="5">
        <v>45918.297166608798</v>
      </c>
      <c r="D657">
        <v>7006</v>
      </c>
      <c r="E657" s="3" t="s">
        <v>493</v>
      </c>
      <c r="F657" s="12">
        <f t="shared" si="20"/>
        <v>45917.963833275462</v>
      </c>
      <c r="G657" s="10" t="str">
        <f t="shared" si="21"/>
        <v>23:15:00</v>
      </c>
      <c r="H657" t="str">
        <f>LEFT(SearchData[[#This Row],[userId]],8)</f>
        <v>154e5978</v>
      </c>
    </row>
    <row r="658" spans="1:8">
      <c r="A658" t="s">
        <v>967</v>
      </c>
      <c r="B658" t="s">
        <v>487</v>
      </c>
      <c r="C658" s="5">
        <v>45918.298277812501</v>
      </c>
      <c r="D658">
        <v>7006</v>
      </c>
      <c r="E658" s="3" t="s">
        <v>516</v>
      </c>
      <c r="F658" s="12">
        <f t="shared" si="20"/>
        <v>45917.964944479165</v>
      </c>
      <c r="G658" s="10" t="str">
        <f t="shared" si="21"/>
        <v>23:15:00</v>
      </c>
      <c r="H658" t="str">
        <f>LEFT(SearchData[[#This Row],[userId]],8)</f>
        <v>f676770a</v>
      </c>
    </row>
    <row r="659" spans="1:8">
      <c r="A659" t="s">
        <v>968</v>
      </c>
      <c r="B659" t="s">
        <v>487</v>
      </c>
      <c r="C659" s="5">
        <v>45918.337369074077</v>
      </c>
      <c r="D659">
        <v>7006</v>
      </c>
      <c r="E659" s="3" t="s">
        <v>516</v>
      </c>
      <c r="F659" s="12">
        <f t="shared" si="20"/>
        <v>45918.004035740742</v>
      </c>
      <c r="G659" s="10" t="str">
        <f t="shared" si="21"/>
        <v>00:00:00</v>
      </c>
      <c r="H659" t="str">
        <f>LEFT(SearchData[[#This Row],[userId]],8)</f>
        <v>f676770a</v>
      </c>
    </row>
    <row r="660" spans="1:8">
      <c r="A660" t="s">
        <v>969</v>
      </c>
      <c r="B660" s="1" t="s">
        <v>614</v>
      </c>
      <c r="C660" s="5">
        <v>45918.343205196761</v>
      </c>
      <c r="D660">
        <v>7006</v>
      </c>
      <c r="E660" s="3" t="s">
        <v>493</v>
      </c>
      <c r="F660" s="12">
        <f t="shared" si="20"/>
        <v>45918.009871863425</v>
      </c>
      <c r="G660" s="10" t="str">
        <f t="shared" si="21"/>
        <v>00:15:00</v>
      </c>
      <c r="H660" t="str">
        <f>LEFT(SearchData[[#This Row],[userId]],8)</f>
        <v>154e5978</v>
      </c>
    </row>
    <row r="661" spans="1:8">
      <c r="A661" t="s">
        <v>970</v>
      </c>
      <c r="B661" t="s">
        <v>487</v>
      </c>
      <c r="C661" s="5">
        <v>45918.395350231483</v>
      </c>
      <c r="D661">
        <v>7006</v>
      </c>
      <c r="E661" s="3" t="s">
        <v>516</v>
      </c>
      <c r="F661" s="12">
        <f t="shared" si="20"/>
        <v>45918.062016898148</v>
      </c>
      <c r="G661" s="10" t="str">
        <f t="shared" si="21"/>
        <v>01:30:00</v>
      </c>
      <c r="H661" t="str">
        <f>LEFT(SearchData[[#This Row],[userId]],8)</f>
        <v>f676770a</v>
      </c>
    </row>
    <row r="662" spans="1:8">
      <c r="A662" t="s">
        <v>971</v>
      </c>
      <c r="B662" s="1" t="s">
        <v>614</v>
      </c>
      <c r="C662" s="5">
        <v>45918.428195879627</v>
      </c>
      <c r="D662">
        <v>91620</v>
      </c>
      <c r="E662" s="3" t="s">
        <v>493</v>
      </c>
      <c r="F662" s="12">
        <f t="shared" si="20"/>
        <v>45918.094862546292</v>
      </c>
      <c r="G662" s="10" t="str">
        <f t="shared" si="21"/>
        <v>02:15:00</v>
      </c>
      <c r="H662" t="str">
        <f>LEFT(SearchData[[#This Row],[userId]],8)</f>
        <v>154e5978</v>
      </c>
    </row>
    <row r="663" spans="1:8">
      <c r="A663" t="s">
        <v>972</v>
      </c>
      <c r="B663" t="s">
        <v>487</v>
      </c>
      <c r="C663" s="5">
        <v>45918.449577939813</v>
      </c>
      <c r="D663">
        <v>7006</v>
      </c>
      <c r="E663" s="3" t="s">
        <v>186</v>
      </c>
      <c r="F663" s="12">
        <f t="shared" si="20"/>
        <v>45918.116244606477</v>
      </c>
      <c r="G663" s="10" t="str">
        <f t="shared" si="21"/>
        <v>02:45:00</v>
      </c>
      <c r="H663" t="str">
        <f>LEFT(SearchData[[#This Row],[userId]],8)</f>
        <v>f676770a</v>
      </c>
    </row>
    <row r="664" spans="1:8">
      <c r="A664" t="s">
        <v>973</v>
      </c>
      <c r="B664" t="s">
        <v>487</v>
      </c>
      <c r="C664" s="5">
        <v>45918.555871805554</v>
      </c>
      <c r="D664">
        <v>7005</v>
      </c>
      <c r="E664" s="3" t="s">
        <v>186</v>
      </c>
      <c r="F664" s="12">
        <f t="shared" si="20"/>
        <v>45918.222538472219</v>
      </c>
      <c r="G664" s="10" t="str">
        <f t="shared" si="21"/>
        <v>05:15:00</v>
      </c>
      <c r="H664" t="str">
        <f>LEFT(SearchData[[#This Row],[userId]],8)</f>
        <v>f676770a</v>
      </c>
    </row>
    <row r="665" spans="1:8">
      <c r="A665" t="s">
        <v>974</v>
      </c>
      <c r="B665" t="s">
        <v>233</v>
      </c>
      <c r="C665" s="5">
        <v>45918.601138981481</v>
      </c>
      <c r="D665">
        <v>7005</v>
      </c>
      <c r="E665" s="3" t="s">
        <v>975</v>
      </c>
      <c r="F665" s="12">
        <f t="shared" si="20"/>
        <v>45918.267805648145</v>
      </c>
      <c r="G665" s="10" t="str">
        <f t="shared" si="21"/>
        <v>06:30:00</v>
      </c>
      <c r="H665" t="str">
        <f>LEFT(SearchData[[#This Row],[userId]],8)</f>
        <v>01b52c2e</v>
      </c>
    </row>
    <row r="666" spans="1:8">
      <c r="A666" t="s">
        <v>976</v>
      </c>
      <c r="B666" t="s">
        <v>137</v>
      </c>
      <c r="C666" s="5">
        <v>45918.64131983796</v>
      </c>
      <c r="D666">
        <v>7005</v>
      </c>
      <c r="E666" s="3" t="s">
        <v>13</v>
      </c>
      <c r="F666" s="12">
        <f t="shared" si="20"/>
        <v>45918.307986504624</v>
      </c>
      <c r="G666" s="10" t="str">
        <f t="shared" si="21"/>
        <v>07:30:00</v>
      </c>
      <c r="H666" t="str">
        <f>LEFT(SearchData[[#This Row],[userId]],8)</f>
        <v>fb7d1ae3</v>
      </c>
    </row>
    <row r="667" spans="1:8">
      <c r="A667" t="s">
        <v>977</v>
      </c>
      <c r="B667" t="s">
        <v>611</v>
      </c>
      <c r="C667" s="5">
        <v>45918.668173206017</v>
      </c>
      <c r="D667">
        <v>7004</v>
      </c>
      <c r="E667" s="3" t="s">
        <v>10</v>
      </c>
      <c r="F667" s="12">
        <f t="shared" si="20"/>
        <v>45918.334839872681</v>
      </c>
      <c r="G667" s="10" t="str">
        <f t="shared" si="21"/>
        <v>08:00:00</v>
      </c>
      <c r="H667" t="str">
        <f>LEFT(SearchData[[#This Row],[userId]],8)</f>
        <v>cf20f9c8</v>
      </c>
    </row>
    <row r="668" spans="1:8">
      <c r="A668" t="s">
        <v>978</v>
      </c>
      <c r="B668" t="s">
        <v>527</v>
      </c>
      <c r="C668" s="5">
        <v>45918.670264502318</v>
      </c>
      <c r="D668">
        <v>7004</v>
      </c>
      <c r="E668" s="3" t="s">
        <v>979</v>
      </c>
      <c r="F668" s="12">
        <f t="shared" si="20"/>
        <v>45918.336931168982</v>
      </c>
      <c r="G668" s="10" t="str">
        <f t="shared" si="21"/>
        <v>08:00:00</v>
      </c>
      <c r="H668" t="str">
        <f>LEFT(SearchData[[#This Row],[userId]],8)</f>
        <v>0e8ecca7</v>
      </c>
    </row>
    <row r="669" spans="1:8">
      <c r="A669" t="s">
        <v>980</v>
      </c>
      <c r="B669" t="s">
        <v>137</v>
      </c>
      <c r="C669" s="5">
        <v>45918.676851550925</v>
      </c>
      <c r="D669">
        <v>7005</v>
      </c>
      <c r="E669" s="3" t="s">
        <v>701</v>
      </c>
      <c r="F669" s="12">
        <f t="shared" si="20"/>
        <v>45918.343518217589</v>
      </c>
      <c r="G669" s="10" t="str">
        <f t="shared" si="21"/>
        <v>08:15:00</v>
      </c>
      <c r="H669" t="str">
        <f>LEFT(SearchData[[#This Row],[userId]],8)</f>
        <v>fb7d1ae3</v>
      </c>
    </row>
    <row r="670" spans="1:8">
      <c r="A670" t="s">
        <v>981</v>
      </c>
      <c r="B670" t="s">
        <v>137</v>
      </c>
      <c r="C670" s="5">
        <v>45918.725398368057</v>
      </c>
      <c r="D670">
        <v>7004</v>
      </c>
      <c r="E670" s="3" t="s">
        <v>701</v>
      </c>
      <c r="F670" s="12">
        <f t="shared" si="20"/>
        <v>45918.392065034721</v>
      </c>
      <c r="G670" s="10" t="str">
        <f t="shared" si="21"/>
        <v>09:30:00</v>
      </c>
      <c r="H670" t="str">
        <f>LEFT(SearchData[[#This Row],[userId]],8)</f>
        <v>fb7d1ae3</v>
      </c>
    </row>
    <row r="671" spans="1:8">
      <c r="A671" t="s">
        <v>982</v>
      </c>
      <c r="B671" t="s">
        <v>137</v>
      </c>
      <c r="C671" s="5">
        <v>45918.773101782404</v>
      </c>
      <c r="D671">
        <v>7002</v>
      </c>
      <c r="E671" s="3" t="s">
        <v>701</v>
      </c>
      <c r="F671" s="12">
        <f t="shared" si="20"/>
        <v>45918.439768449069</v>
      </c>
      <c r="G671" s="10" t="str">
        <f t="shared" si="21"/>
        <v>10:30:00</v>
      </c>
      <c r="H671" t="str">
        <f>LEFT(SearchData[[#This Row],[userId]],8)</f>
        <v>fb7d1ae3</v>
      </c>
    </row>
    <row r="672" spans="1:8">
      <c r="A672" t="s">
        <v>983</v>
      </c>
      <c r="B672" t="s">
        <v>527</v>
      </c>
      <c r="C672" s="5">
        <v>45918.78817453704</v>
      </c>
      <c r="D672">
        <v>7001</v>
      </c>
      <c r="E672" s="3" t="s">
        <v>984</v>
      </c>
      <c r="F672" s="12">
        <f t="shared" si="20"/>
        <v>45918.454841203704</v>
      </c>
      <c r="G672" s="10" t="str">
        <f t="shared" si="21"/>
        <v>11:00:00</v>
      </c>
      <c r="H672" t="str">
        <f>LEFT(SearchData[[#This Row],[userId]],8)</f>
        <v>0e8ecca7</v>
      </c>
    </row>
    <row r="673" spans="1:8">
      <c r="A673" t="s">
        <v>985</v>
      </c>
      <c r="B673" t="s">
        <v>137</v>
      </c>
      <c r="C673" s="5">
        <v>45918.810075046298</v>
      </c>
      <c r="D673">
        <v>7001</v>
      </c>
      <c r="E673" s="3" t="s">
        <v>701</v>
      </c>
      <c r="F673" s="12">
        <f t="shared" si="20"/>
        <v>45918.476741712962</v>
      </c>
      <c r="G673" s="10" t="str">
        <f t="shared" si="21"/>
        <v>11:30:00</v>
      </c>
      <c r="H673" t="str">
        <f>LEFT(SearchData[[#This Row],[userId]],8)</f>
        <v>fb7d1ae3</v>
      </c>
    </row>
    <row r="674" spans="1:8">
      <c r="A674" t="s">
        <v>986</v>
      </c>
      <c r="B674" s="1" t="s">
        <v>614</v>
      </c>
      <c r="C674" s="5">
        <v>45918.984003506943</v>
      </c>
      <c r="D674">
        <v>91808</v>
      </c>
      <c r="E674" s="3" t="s">
        <v>493</v>
      </c>
      <c r="F674" s="12">
        <f t="shared" si="20"/>
        <v>45918.650670173607</v>
      </c>
      <c r="G674" s="10" t="str">
        <f t="shared" si="21"/>
        <v>15:30:00</v>
      </c>
      <c r="H674" t="str">
        <f>LEFT(SearchData[[#This Row],[userId]],8)</f>
        <v>154e5978</v>
      </c>
    </row>
    <row r="675" spans="1:8">
      <c r="A675" t="s">
        <v>987</v>
      </c>
      <c r="B675" s="1" t="s">
        <v>614</v>
      </c>
      <c r="C675" s="5">
        <v>45919.000631446761</v>
      </c>
      <c r="D675">
        <v>7004</v>
      </c>
      <c r="E675" s="3" t="s">
        <v>493</v>
      </c>
      <c r="F675" s="12">
        <f t="shared" si="20"/>
        <v>45918.667298113425</v>
      </c>
      <c r="G675" s="10" t="str">
        <f t="shared" si="21"/>
        <v>16:00:00</v>
      </c>
      <c r="H675" t="str">
        <f>LEFT(SearchData[[#This Row],[userId]],8)</f>
        <v>154e5978</v>
      </c>
    </row>
    <row r="676" spans="1:8">
      <c r="A676" t="s">
        <v>988</v>
      </c>
      <c r="B676" s="1" t="s">
        <v>614</v>
      </c>
      <c r="C676" s="5">
        <v>45919.175177824072</v>
      </c>
      <c r="D676">
        <v>7004</v>
      </c>
      <c r="E676" s="3" t="s">
        <v>493</v>
      </c>
      <c r="F676" s="12">
        <f t="shared" si="20"/>
        <v>45918.841844490737</v>
      </c>
      <c r="G676" s="10" t="str">
        <f t="shared" si="21"/>
        <v>20:15:00</v>
      </c>
      <c r="H676" t="str">
        <f>LEFT(SearchData[[#This Row],[userId]],8)</f>
        <v>154e5978</v>
      </c>
    </row>
    <row r="677" spans="1:8">
      <c r="A677" t="s">
        <v>989</v>
      </c>
      <c r="B677" s="1" t="s">
        <v>614</v>
      </c>
      <c r="C677" s="5">
        <v>45919.282433182867</v>
      </c>
      <c r="D677">
        <v>7004</v>
      </c>
      <c r="E677" s="3" t="s">
        <v>493</v>
      </c>
      <c r="F677" s="12">
        <f t="shared" si="20"/>
        <v>45918.949099849531</v>
      </c>
      <c r="G677" s="10" t="str">
        <f t="shared" si="21"/>
        <v>22:45:00</v>
      </c>
      <c r="H677" t="str">
        <f>LEFT(SearchData[[#This Row],[userId]],8)</f>
        <v>154e5978</v>
      </c>
    </row>
    <row r="678" spans="1:8">
      <c r="A678" t="s">
        <v>990</v>
      </c>
      <c r="B678" t="s">
        <v>991</v>
      </c>
      <c r="C678" s="5">
        <v>45919.283728773145</v>
      </c>
      <c r="D678">
        <v>7004</v>
      </c>
      <c r="E678" s="3" t="s">
        <v>403</v>
      </c>
      <c r="F678" s="12">
        <f t="shared" si="20"/>
        <v>45918.95039543981</v>
      </c>
      <c r="G678" s="10" t="str">
        <f t="shared" si="21"/>
        <v>22:45:00</v>
      </c>
      <c r="H678" t="str">
        <f>LEFT(SearchData[[#This Row],[userId]],8)</f>
        <v>d659d111</v>
      </c>
    </row>
    <row r="679" spans="1:8">
      <c r="A679" t="s">
        <v>992</v>
      </c>
      <c r="B679" t="s">
        <v>991</v>
      </c>
      <c r="C679" s="5">
        <v>45919.291740601853</v>
      </c>
      <c r="D679">
        <v>7004</v>
      </c>
      <c r="E679" s="3" t="s">
        <v>403</v>
      </c>
      <c r="F679" s="12">
        <f t="shared" si="20"/>
        <v>45918.958407268517</v>
      </c>
      <c r="G679" s="10" t="str">
        <f t="shared" si="21"/>
        <v>23:00:00</v>
      </c>
      <c r="H679" t="str">
        <f>LEFT(SearchData[[#This Row],[userId]],8)</f>
        <v>d659d111</v>
      </c>
    </row>
    <row r="680" spans="1:8">
      <c r="A680" t="s">
        <v>993</v>
      </c>
      <c r="B680" s="1" t="s">
        <v>614</v>
      </c>
      <c r="C680" s="5">
        <v>45919.30491540509</v>
      </c>
      <c r="D680">
        <v>7004</v>
      </c>
      <c r="E680" s="3" t="s">
        <v>493</v>
      </c>
      <c r="F680" s="12">
        <f t="shared" si="20"/>
        <v>45918.971582071754</v>
      </c>
      <c r="G680" s="10" t="str">
        <f t="shared" si="21"/>
        <v>23:15:00</v>
      </c>
      <c r="H680" t="str">
        <f>LEFT(SearchData[[#This Row],[userId]],8)</f>
        <v>154e5978</v>
      </c>
    </row>
    <row r="681" spans="1:8">
      <c r="A681" t="s">
        <v>994</v>
      </c>
      <c r="B681" t="s">
        <v>137</v>
      </c>
      <c r="C681" s="5">
        <v>45919.658480335645</v>
      </c>
      <c r="D681">
        <v>6978</v>
      </c>
      <c r="E681" s="3" t="s">
        <v>626</v>
      </c>
      <c r="F681" s="12">
        <f t="shared" si="20"/>
        <v>45919.32514700231</v>
      </c>
      <c r="G681" s="10" t="str">
        <f t="shared" si="21"/>
        <v>07:45:00</v>
      </c>
      <c r="H681" t="str">
        <f>LEFT(SearchData[[#This Row],[userId]],8)</f>
        <v>fb7d1ae3</v>
      </c>
    </row>
    <row r="682" spans="1:8">
      <c r="A682" t="s">
        <v>995</v>
      </c>
      <c r="B682" t="s">
        <v>611</v>
      </c>
      <c r="C682" s="5">
        <v>45919.706496087965</v>
      </c>
      <c r="D682">
        <v>6983</v>
      </c>
      <c r="E682" s="3" t="s">
        <v>10</v>
      </c>
      <c r="F682" s="12">
        <f t="shared" si="20"/>
        <v>45919.373162754629</v>
      </c>
      <c r="G682" s="10" t="str">
        <f t="shared" si="21"/>
        <v>09:00:00</v>
      </c>
      <c r="H682" t="str">
        <f>LEFT(SearchData[[#This Row],[userId]],8)</f>
        <v>cf20f9c8</v>
      </c>
    </row>
    <row r="683" spans="1:8">
      <c r="A683" t="s">
        <v>996</v>
      </c>
      <c r="B683" t="s">
        <v>137</v>
      </c>
      <c r="C683" s="5">
        <v>45919.709889583333</v>
      </c>
      <c r="D683">
        <v>6983</v>
      </c>
      <c r="E683" s="3" t="s">
        <v>626</v>
      </c>
      <c r="F683" s="12">
        <f t="shared" si="20"/>
        <v>45919.376556249998</v>
      </c>
      <c r="G683" s="10" t="str">
        <f t="shared" si="21"/>
        <v>09:00:00</v>
      </c>
      <c r="H683" t="str">
        <f>LEFT(SearchData[[#This Row],[userId]],8)</f>
        <v>fb7d1ae3</v>
      </c>
    </row>
    <row r="684" spans="1:8">
      <c r="A684" t="s">
        <v>997</v>
      </c>
      <c r="B684" t="s">
        <v>137</v>
      </c>
      <c r="C684" s="5">
        <v>45919.714229849538</v>
      </c>
      <c r="D684">
        <v>6983</v>
      </c>
      <c r="E684" s="3" t="s">
        <v>998</v>
      </c>
      <c r="F684" s="12">
        <f t="shared" si="20"/>
        <v>45919.380896516202</v>
      </c>
      <c r="G684" s="10" t="str">
        <f t="shared" si="21"/>
        <v>09:15:00</v>
      </c>
      <c r="H684" t="str">
        <f>LEFT(SearchData[[#This Row],[userId]],8)</f>
        <v>fb7d1ae3</v>
      </c>
    </row>
    <row r="685" spans="1:8">
      <c r="A685" t="s">
        <v>999</v>
      </c>
      <c r="B685" t="s">
        <v>611</v>
      </c>
      <c r="C685" s="5">
        <v>45919.856342662039</v>
      </c>
      <c r="D685">
        <v>6985</v>
      </c>
      <c r="E685" s="3" t="s">
        <v>10</v>
      </c>
      <c r="F685" s="12">
        <f t="shared" si="20"/>
        <v>45919.523009328703</v>
      </c>
      <c r="G685" s="10" t="str">
        <f t="shared" si="21"/>
        <v>12:30:00</v>
      </c>
      <c r="H685" t="str">
        <f>LEFT(SearchData[[#This Row],[userId]],8)</f>
        <v>cf20f9c8</v>
      </c>
    </row>
    <row r="686" spans="1:8">
      <c r="A686" t="s">
        <v>1000</v>
      </c>
      <c r="B686" t="s">
        <v>137</v>
      </c>
      <c r="C686" s="5">
        <v>45919.880418449073</v>
      </c>
      <c r="D686">
        <v>6984</v>
      </c>
      <c r="E686" s="3" t="s">
        <v>13</v>
      </c>
      <c r="F686" s="12">
        <f t="shared" si="20"/>
        <v>45919.547085115737</v>
      </c>
      <c r="G686" s="10" t="str">
        <f t="shared" si="21"/>
        <v>13:15:00</v>
      </c>
      <c r="H686" t="str">
        <f>LEFT(SearchData[[#This Row],[userId]],8)</f>
        <v>fb7d1ae3</v>
      </c>
    </row>
    <row r="687" spans="1:8">
      <c r="A687" t="s">
        <v>1001</v>
      </c>
      <c r="B687" s="1" t="s">
        <v>614</v>
      </c>
      <c r="C687" s="5">
        <v>45919.897401099537</v>
      </c>
      <c r="D687">
        <v>6983</v>
      </c>
      <c r="E687" s="3" t="s">
        <v>493</v>
      </c>
      <c r="F687" s="12">
        <f t="shared" si="20"/>
        <v>45919.564067766201</v>
      </c>
      <c r="G687" s="10" t="str">
        <f t="shared" si="21"/>
        <v>13:30:00</v>
      </c>
      <c r="H687" t="str">
        <f>LEFT(SearchData[[#This Row],[userId]],8)</f>
        <v>154e5978</v>
      </c>
    </row>
    <row r="688" spans="1:8">
      <c r="A688" t="s">
        <v>1002</v>
      </c>
      <c r="B688" t="s">
        <v>137</v>
      </c>
      <c r="C688" s="5">
        <v>45919.923389814816</v>
      </c>
      <c r="D688">
        <v>6979</v>
      </c>
      <c r="E688" s="3" t="s">
        <v>14</v>
      </c>
      <c r="F688" s="12">
        <f t="shared" si="20"/>
        <v>45919.59005648148</v>
      </c>
      <c r="G688" s="10" t="str">
        <f t="shared" si="21"/>
        <v>14:15:00</v>
      </c>
      <c r="H688" t="str">
        <f>LEFT(SearchData[[#This Row],[userId]],8)</f>
        <v>fb7d1ae3</v>
      </c>
    </row>
    <row r="689" spans="1:8">
      <c r="A689" t="s">
        <v>1003</v>
      </c>
      <c r="B689" s="1" t="s">
        <v>614</v>
      </c>
      <c r="C689" s="5">
        <v>45920.104464733799</v>
      </c>
      <c r="D689">
        <v>6977</v>
      </c>
      <c r="E689" s="3" t="s">
        <v>493</v>
      </c>
      <c r="F689" s="12">
        <f t="shared" si="20"/>
        <v>45919.771131400463</v>
      </c>
      <c r="G689" s="10" t="str">
        <f t="shared" si="21"/>
        <v>18:30:00</v>
      </c>
      <c r="H689" t="str">
        <f>LEFT(SearchData[[#This Row],[userId]],8)</f>
        <v>154e5978</v>
      </c>
    </row>
    <row r="690" spans="1:8">
      <c r="A690" t="s">
        <v>1004</v>
      </c>
      <c r="B690" s="1" t="s">
        <v>614</v>
      </c>
      <c r="C690" s="5">
        <v>45920.29085740741</v>
      </c>
      <c r="D690">
        <v>6977</v>
      </c>
      <c r="E690" s="3" t="s">
        <v>493</v>
      </c>
      <c r="F690" s="12">
        <f t="shared" si="20"/>
        <v>45919.957524074074</v>
      </c>
      <c r="G690" s="10" t="str">
        <f t="shared" si="21"/>
        <v>23:00:00</v>
      </c>
      <c r="H690" t="str">
        <f>LEFT(SearchData[[#This Row],[userId]],8)</f>
        <v>154e5978</v>
      </c>
    </row>
    <row r="691" spans="1:8">
      <c r="A691" t="s">
        <v>1005</v>
      </c>
      <c r="B691" s="1" t="s">
        <v>614</v>
      </c>
      <c r="C691" s="5">
        <v>45920.329019305558</v>
      </c>
      <c r="D691">
        <v>6977</v>
      </c>
      <c r="E691" s="3" t="s">
        <v>493</v>
      </c>
      <c r="F691" s="12">
        <f t="shared" si="20"/>
        <v>45919.995685972222</v>
      </c>
      <c r="G691" s="10" t="str">
        <f t="shared" si="21"/>
        <v>00:00:00</v>
      </c>
      <c r="H691" t="str">
        <f>LEFT(SearchData[[#This Row],[userId]],8)</f>
        <v>154e5978</v>
      </c>
    </row>
    <row r="692" spans="1:8">
      <c r="A692" t="s">
        <v>1006</v>
      </c>
      <c r="B692" s="1" t="s">
        <v>614</v>
      </c>
      <c r="C692" s="5">
        <v>45920.335630520836</v>
      </c>
      <c r="D692">
        <v>6977</v>
      </c>
      <c r="E692" s="3" t="s">
        <v>493</v>
      </c>
      <c r="F692" s="12">
        <f t="shared" si="20"/>
        <v>45920.002297187501</v>
      </c>
      <c r="G692" s="10" t="str">
        <f t="shared" si="21"/>
        <v>00:00:00</v>
      </c>
      <c r="H692" t="str">
        <f>LEFT(SearchData[[#This Row],[userId]],8)</f>
        <v>154e5978</v>
      </c>
    </row>
    <row r="693" spans="1:8">
      <c r="A693" s="1" t="s">
        <v>1007</v>
      </c>
      <c r="B693" s="1" t="s">
        <v>614</v>
      </c>
      <c r="C693" s="5">
        <v>45920.381322465277</v>
      </c>
      <c r="D693">
        <v>6977</v>
      </c>
      <c r="E693" s="3" t="s">
        <v>493</v>
      </c>
      <c r="F693" s="12">
        <f t="shared" si="20"/>
        <v>45920.047989131941</v>
      </c>
      <c r="G693" s="10" t="str">
        <f t="shared" si="21"/>
        <v>01:15:00</v>
      </c>
      <c r="H693" t="str">
        <f>LEFT(SearchData[[#This Row],[userId]],8)</f>
        <v>154e5978</v>
      </c>
    </row>
    <row r="694" spans="1:8">
      <c r="A694" t="s">
        <v>1008</v>
      </c>
      <c r="B694" s="1" t="s">
        <v>614</v>
      </c>
      <c r="C694" s="5">
        <v>45920.478963506946</v>
      </c>
      <c r="D694">
        <v>6977</v>
      </c>
      <c r="E694" s="3" t="s">
        <v>493</v>
      </c>
      <c r="F694" s="12">
        <f t="shared" si="20"/>
        <v>45920.145630173611</v>
      </c>
      <c r="G694" s="10" t="str">
        <f t="shared" si="21"/>
        <v>03:30:00</v>
      </c>
      <c r="H694" t="str">
        <f>LEFT(SearchData[[#This Row],[userId]],8)</f>
        <v>154e5978</v>
      </c>
    </row>
    <row r="695" spans="1:8">
      <c r="A695" t="s">
        <v>1009</v>
      </c>
      <c r="B695" t="s">
        <v>611</v>
      </c>
      <c r="C695" s="5">
        <v>45920.774438622684</v>
      </c>
      <c r="D695">
        <v>6977</v>
      </c>
      <c r="E695" s="3" t="s">
        <v>692</v>
      </c>
      <c r="F695" s="12">
        <f t="shared" si="20"/>
        <v>45920.441105289348</v>
      </c>
      <c r="G695" s="10" t="str">
        <f t="shared" si="21"/>
        <v>10:30:00</v>
      </c>
      <c r="H695" t="str">
        <f>LEFT(SearchData[[#This Row],[userId]],8)</f>
        <v>cf20f9c8</v>
      </c>
    </row>
    <row r="696" spans="1:8">
      <c r="A696" t="s">
        <v>1010</v>
      </c>
      <c r="B696" t="s">
        <v>611</v>
      </c>
      <c r="C696" s="5">
        <v>45920.774876747688</v>
      </c>
      <c r="D696">
        <v>6977</v>
      </c>
      <c r="E696" s="3" t="s">
        <v>10</v>
      </c>
      <c r="F696" s="12">
        <f t="shared" si="20"/>
        <v>45920.441543414352</v>
      </c>
      <c r="G696" s="10" t="str">
        <f t="shared" si="21"/>
        <v>10:30:00</v>
      </c>
      <c r="H696" t="str">
        <f>LEFT(SearchData[[#This Row],[userId]],8)</f>
        <v>cf20f9c8</v>
      </c>
    </row>
    <row r="697" spans="1:8">
      <c r="A697" t="s">
        <v>1011</v>
      </c>
      <c r="B697" t="s">
        <v>137</v>
      </c>
      <c r="C697" s="5">
        <v>45920.86284238426</v>
      </c>
      <c r="D697">
        <v>6977</v>
      </c>
      <c r="E697" s="3" t="s">
        <v>173</v>
      </c>
      <c r="F697" s="12">
        <f t="shared" si="20"/>
        <v>45920.529509050924</v>
      </c>
      <c r="G697" s="10" t="str">
        <f t="shared" si="21"/>
        <v>12:45:00</v>
      </c>
      <c r="H697" t="str">
        <f>LEFT(SearchData[[#This Row],[userId]],8)</f>
        <v>fb7d1ae3</v>
      </c>
    </row>
    <row r="698" spans="1:8">
      <c r="A698" t="s">
        <v>1012</v>
      </c>
      <c r="B698" t="s">
        <v>611</v>
      </c>
      <c r="C698" s="5">
        <v>45920.914351192128</v>
      </c>
      <c r="D698">
        <v>6977</v>
      </c>
      <c r="E698" s="3" t="s">
        <v>10</v>
      </c>
      <c r="F698" s="12">
        <f t="shared" si="20"/>
        <v>45920.581017858793</v>
      </c>
      <c r="G698" s="10" t="str">
        <f t="shared" si="21"/>
        <v>14:00:00</v>
      </c>
      <c r="H698" t="str">
        <f>LEFT(SearchData[[#This Row],[userId]],8)</f>
        <v>cf20f9c8</v>
      </c>
    </row>
    <row r="699" spans="1:8">
      <c r="A699" t="s">
        <v>1013</v>
      </c>
      <c r="B699" t="s">
        <v>549</v>
      </c>
      <c r="C699" s="5">
        <v>45921.790521805553</v>
      </c>
      <c r="D699">
        <v>6977</v>
      </c>
      <c r="E699" s="3" t="s">
        <v>14</v>
      </c>
      <c r="F699" s="12">
        <f t="shared" si="20"/>
        <v>45921.457188472217</v>
      </c>
      <c r="G699" s="10" t="str">
        <f t="shared" si="21"/>
        <v>11:00:00</v>
      </c>
      <c r="H699" t="str">
        <f>LEFT(SearchData[[#This Row],[userId]],8)</f>
        <v>92811fe2</v>
      </c>
    </row>
    <row r="700" spans="1:8">
      <c r="A700" t="s">
        <v>1014</v>
      </c>
      <c r="B700" t="s">
        <v>656</v>
      </c>
      <c r="C700" s="5">
        <v>45922.563493425929</v>
      </c>
      <c r="D700">
        <v>6978</v>
      </c>
      <c r="E700" s="3" t="s">
        <v>1015</v>
      </c>
      <c r="F700" s="12">
        <f t="shared" si="20"/>
        <v>45922.230160092593</v>
      </c>
      <c r="G700" s="10" t="str">
        <f t="shared" si="21"/>
        <v>05:30:00</v>
      </c>
      <c r="H700" t="str">
        <f>LEFT(SearchData[[#This Row],[userId]],8)</f>
        <v>2d4eebd6</v>
      </c>
    </row>
    <row r="701" spans="1:8">
      <c r="A701" t="s">
        <v>1016</v>
      </c>
      <c r="B701" t="s">
        <v>206</v>
      </c>
      <c r="C701" s="5">
        <v>45922.563542222226</v>
      </c>
      <c r="D701">
        <v>6978</v>
      </c>
      <c r="E701" s="3" t="s">
        <v>1017</v>
      </c>
      <c r="F701" s="12">
        <f t="shared" si="20"/>
        <v>45922.23020888889</v>
      </c>
      <c r="G701" s="10" t="str">
        <f t="shared" si="21"/>
        <v>05:30:00</v>
      </c>
      <c r="H701" t="str">
        <f>LEFT(SearchData[[#This Row],[userId]],8)</f>
        <v>d6f7ed99</v>
      </c>
    </row>
    <row r="702" spans="1:8">
      <c r="A702" t="s">
        <v>1018</v>
      </c>
      <c r="B702" t="s">
        <v>137</v>
      </c>
      <c r="C702" s="5">
        <v>45922.656126041664</v>
      </c>
      <c r="D702">
        <v>6980</v>
      </c>
      <c r="E702" s="3" t="s">
        <v>14</v>
      </c>
      <c r="F702" s="12">
        <f t="shared" si="20"/>
        <v>45922.322792708328</v>
      </c>
      <c r="G702" s="10" t="str">
        <f t="shared" si="21"/>
        <v>07:45:00</v>
      </c>
      <c r="H702" t="str">
        <f>LEFT(SearchData[[#This Row],[userId]],8)</f>
        <v>fb7d1ae3</v>
      </c>
    </row>
    <row r="703" spans="1:8">
      <c r="A703" t="s">
        <v>1019</v>
      </c>
      <c r="B703" t="s">
        <v>137</v>
      </c>
      <c r="C703" s="5">
        <v>45922.673580532406</v>
      </c>
      <c r="D703">
        <v>6982</v>
      </c>
      <c r="E703" s="3" t="s">
        <v>14</v>
      </c>
      <c r="F703" s="12">
        <f t="shared" si="20"/>
        <v>45922.34024719907</v>
      </c>
      <c r="G703" s="10" t="str">
        <f t="shared" si="21"/>
        <v>08:15:00</v>
      </c>
      <c r="H703" t="str">
        <f>LEFT(SearchData[[#This Row],[userId]],8)</f>
        <v>fb7d1ae3</v>
      </c>
    </row>
    <row r="704" spans="1:8">
      <c r="A704" t="s">
        <v>1020</v>
      </c>
      <c r="B704" t="s">
        <v>137</v>
      </c>
      <c r="C704" s="5">
        <v>45922.714766493053</v>
      </c>
      <c r="D704">
        <v>6986</v>
      </c>
      <c r="E704" s="3" t="s">
        <v>14</v>
      </c>
      <c r="F704" s="12">
        <f t="shared" si="20"/>
        <v>45922.381433159717</v>
      </c>
      <c r="G704" s="10" t="str">
        <f t="shared" si="21"/>
        <v>09:15:00</v>
      </c>
      <c r="H704" t="str">
        <f>LEFT(SearchData[[#This Row],[userId]],8)</f>
        <v>fb7d1ae3</v>
      </c>
    </row>
    <row r="705" spans="1:8">
      <c r="A705" t="s">
        <v>1021</v>
      </c>
      <c r="B705" t="s">
        <v>137</v>
      </c>
      <c r="C705" s="5">
        <v>45922.730956006948</v>
      </c>
      <c r="D705">
        <v>6986</v>
      </c>
      <c r="E705" s="3" t="s">
        <v>1022</v>
      </c>
      <c r="F705" s="12">
        <f t="shared" si="20"/>
        <v>45922.397622673612</v>
      </c>
      <c r="G705" s="10" t="str">
        <f t="shared" si="21"/>
        <v>09:30:00</v>
      </c>
      <c r="H705" t="str">
        <f>LEFT(SearchData[[#This Row],[userId]],8)</f>
        <v>fb7d1ae3</v>
      </c>
    </row>
    <row r="706" spans="1:8">
      <c r="A706" t="s">
        <v>1023</v>
      </c>
      <c r="B706" t="s">
        <v>443</v>
      </c>
      <c r="C706" s="5">
        <v>45922.754674502314</v>
      </c>
      <c r="D706">
        <v>6990</v>
      </c>
      <c r="E706" s="3" t="s">
        <v>14</v>
      </c>
      <c r="F706" s="12">
        <f t="shared" ref="F706:F769" si="22">C706-TIME(8,0,0)</f>
        <v>45922.421341168978</v>
      </c>
      <c r="G706" s="10" t="str">
        <f t="shared" ref="G706:G769" si="23">TEXT(MROUND(C706-TIME(8,0,0), "0:15"),"HH:MM:SS")</f>
        <v>10:00:00</v>
      </c>
      <c r="H706" t="str">
        <f>LEFT(SearchData[[#This Row],[userId]],8)</f>
        <v>65e0d73f</v>
      </c>
    </row>
    <row r="707" spans="1:8">
      <c r="A707" t="s">
        <v>1024</v>
      </c>
      <c r="B707" t="s">
        <v>137</v>
      </c>
      <c r="C707" s="5">
        <v>45922.758381400461</v>
      </c>
      <c r="D707">
        <v>6990</v>
      </c>
      <c r="E707" s="3" t="s">
        <v>13</v>
      </c>
      <c r="F707" s="12">
        <f t="shared" si="22"/>
        <v>45922.425048067125</v>
      </c>
      <c r="G707" s="10" t="str">
        <f t="shared" si="23"/>
        <v>10:15:00</v>
      </c>
      <c r="H707" t="str">
        <f>LEFT(SearchData[[#This Row],[userId]],8)</f>
        <v>fb7d1ae3</v>
      </c>
    </row>
    <row r="708" spans="1:8">
      <c r="A708" t="s">
        <v>1025</v>
      </c>
      <c r="B708" t="s">
        <v>233</v>
      </c>
      <c r="C708" s="5">
        <v>45922.802711157405</v>
      </c>
      <c r="D708">
        <v>4</v>
      </c>
      <c r="E708" s="3" t="s">
        <v>195</v>
      </c>
      <c r="F708" s="12">
        <f t="shared" si="22"/>
        <v>45922.469377824069</v>
      </c>
      <c r="G708" s="10" t="str">
        <f t="shared" si="23"/>
        <v>11:15:00</v>
      </c>
      <c r="H708" t="str">
        <f>LEFT(SearchData[[#This Row],[userId]],8)</f>
        <v>01b52c2e</v>
      </c>
    </row>
    <row r="709" spans="1:8">
      <c r="A709" t="s">
        <v>1026</v>
      </c>
      <c r="B709" t="s">
        <v>228</v>
      </c>
      <c r="C709" s="5">
        <v>45922.803144513891</v>
      </c>
      <c r="D709">
        <v>6992</v>
      </c>
      <c r="E709" s="3" t="s">
        <v>195</v>
      </c>
      <c r="F709" s="12">
        <f t="shared" si="22"/>
        <v>45922.469811180556</v>
      </c>
      <c r="G709" s="10" t="str">
        <f t="shared" si="23"/>
        <v>11:15:00</v>
      </c>
      <c r="H709" t="str">
        <f>LEFT(SearchData[[#This Row],[userId]],8)</f>
        <v>865aaa25</v>
      </c>
    </row>
    <row r="710" spans="1:8">
      <c r="A710" t="s">
        <v>1027</v>
      </c>
      <c r="B710" t="s">
        <v>656</v>
      </c>
      <c r="C710" s="5">
        <v>45922.845837731482</v>
      </c>
      <c r="D710">
        <v>6988</v>
      </c>
      <c r="E710" s="3" t="s">
        <v>1028</v>
      </c>
      <c r="F710" s="12">
        <f t="shared" si="22"/>
        <v>45922.512504398146</v>
      </c>
      <c r="G710" s="10" t="str">
        <f t="shared" si="23"/>
        <v>12:15:00</v>
      </c>
      <c r="H710" t="str">
        <f>LEFT(SearchData[[#This Row],[userId]],8)</f>
        <v>2d4eebd6</v>
      </c>
    </row>
    <row r="711" spans="1:8">
      <c r="A711" t="s">
        <v>1029</v>
      </c>
      <c r="B711" t="s">
        <v>656</v>
      </c>
      <c r="C711" s="5">
        <v>45922.847100185187</v>
      </c>
      <c r="D711">
        <v>6988</v>
      </c>
      <c r="E711" s="3" t="s">
        <v>1030</v>
      </c>
      <c r="F711" s="12">
        <f t="shared" si="22"/>
        <v>45922.513766851851</v>
      </c>
      <c r="G711" s="10" t="str">
        <f t="shared" si="23"/>
        <v>12:15:00</v>
      </c>
      <c r="H711" t="str">
        <f>LEFT(SearchData[[#This Row],[userId]],8)</f>
        <v>2d4eebd6</v>
      </c>
    </row>
    <row r="712" spans="1:8">
      <c r="A712" t="s">
        <v>1031</v>
      </c>
      <c r="B712" t="s">
        <v>137</v>
      </c>
      <c r="C712" s="5">
        <v>45922.895351597224</v>
      </c>
      <c r="D712">
        <v>8</v>
      </c>
      <c r="E712" s="3" t="s">
        <v>195</v>
      </c>
      <c r="F712" s="12">
        <f t="shared" si="22"/>
        <v>45922.562018263889</v>
      </c>
      <c r="G712" s="10" t="str">
        <f t="shared" si="23"/>
        <v>13:30:00</v>
      </c>
      <c r="H712" t="str">
        <f>LEFT(SearchData[[#This Row],[userId]],8)</f>
        <v>fb7d1ae3</v>
      </c>
    </row>
    <row r="713" spans="1:8">
      <c r="A713" t="s">
        <v>1032</v>
      </c>
      <c r="B713" t="s">
        <v>563</v>
      </c>
      <c r="C713" s="5">
        <v>45922.928593854165</v>
      </c>
      <c r="D713">
        <v>7000</v>
      </c>
      <c r="E713" s="3" t="s">
        <v>11</v>
      </c>
      <c r="F713" s="12">
        <f t="shared" si="22"/>
        <v>45922.595260520829</v>
      </c>
      <c r="G713" s="10" t="str">
        <f t="shared" si="23"/>
        <v>14:15:00</v>
      </c>
      <c r="H713" t="str">
        <f>LEFT(SearchData[[#This Row],[userId]],8)</f>
        <v>390c34fc</v>
      </c>
    </row>
    <row r="714" spans="1:8">
      <c r="A714" t="s">
        <v>1033</v>
      </c>
      <c r="B714" t="s">
        <v>137</v>
      </c>
      <c r="C714" s="5">
        <v>45922.937597384262</v>
      </c>
      <c r="D714">
        <v>7000</v>
      </c>
      <c r="E714" s="3" t="s">
        <v>195</v>
      </c>
      <c r="F714" s="12">
        <f t="shared" si="22"/>
        <v>45922.604264050926</v>
      </c>
      <c r="G714" s="10" t="str">
        <f t="shared" si="23"/>
        <v>14:30:00</v>
      </c>
      <c r="H714" t="str">
        <f>LEFT(SearchData[[#This Row],[userId]],8)</f>
        <v>fb7d1ae3</v>
      </c>
    </row>
    <row r="715" spans="1:8">
      <c r="A715" t="s">
        <v>1034</v>
      </c>
      <c r="B715" t="s">
        <v>192</v>
      </c>
      <c r="C715" s="5">
        <v>45922.943242094909</v>
      </c>
      <c r="D715">
        <v>7000</v>
      </c>
      <c r="E715" s="3" t="s">
        <v>1035</v>
      </c>
      <c r="F715" s="12">
        <f t="shared" si="22"/>
        <v>45922.609908761573</v>
      </c>
      <c r="G715" s="10" t="str">
        <f t="shared" si="23"/>
        <v>14:45:00</v>
      </c>
      <c r="H715" t="str">
        <f>LEFT(SearchData[[#This Row],[userId]],8)</f>
        <v>fbfa025f</v>
      </c>
    </row>
    <row r="716" spans="1:8">
      <c r="A716" t="s">
        <v>1036</v>
      </c>
      <c r="B716" t="s">
        <v>137</v>
      </c>
      <c r="C716" s="5">
        <v>45922.956434803244</v>
      </c>
      <c r="D716">
        <v>7000</v>
      </c>
      <c r="E716" s="3" t="s">
        <v>1037</v>
      </c>
      <c r="F716" s="12">
        <f t="shared" si="22"/>
        <v>45922.623101469908</v>
      </c>
      <c r="G716" s="10" t="str">
        <f t="shared" si="23"/>
        <v>15:00:00</v>
      </c>
      <c r="H716" t="str">
        <f>LEFT(SearchData[[#This Row],[userId]],8)</f>
        <v>fb7d1ae3</v>
      </c>
    </row>
    <row r="717" spans="1:8">
      <c r="A717" t="s">
        <v>1038</v>
      </c>
      <c r="B717" t="s">
        <v>137</v>
      </c>
      <c r="C717" s="5">
        <v>45922.958707187499</v>
      </c>
      <c r="D717">
        <v>10</v>
      </c>
      <c r="E717" s="3" t="s">
        <v>1039</v>
      </c>
      <c r="F717" s="12">
        <f t="shared" si="22"/>
        <v>45922.625373854164</v>
      </c>
      <c r="G717" s="10" t="str">
        <f t="shared" si="23"/>
        <v>15:00:00</v>
      </c>
      <c r="H717" t="str">
        <f>LEFT(SearchData[[#This Row],[userId]],8)</f>
        <v>fb7d1ae3</v>
      </c>
    </row>
    <row r="718" spans="1:8">
      <c r="A718" t="s">
        <v>1040</v>
      </c>
      <c r="B718" t="s">
        <v>192</v>
      </c>
      <c r="C718" s="5">
        <v>45922.974304293981</v>
      </c>
      <c r="D718">
        <v>7000</v>
      </c>
      <c r="E718" s="3" t="s">
        <v>1035</v>
      </c>
      <c r="F718" s="12">
        <f t="shared" si="22"/>
        <v>45922.640970960645</v>
      </c>
      <c r="G718" s="10" t="str">
        <f t="shared" si="23"/>
        <v>15:30:00</v>
      </c>
      <c r="H718" t="str">
        <f>LEFT(SearchData[[#This Row],[userId]],8)</f>
        <v>fbfa025f</v>
      </c>
    </row>
    <row r="719" spans="1:8">
      <c r="A719" t="s">
        <v>1041</v>
      </c>
      <c r="B719" t="s">
        <v>137</v>
      </c>
      <c r="C719" s="5">
        <v>45923.129128622684</v>
      </c>
      <c r="D719">
        <v>7000</v>
      </c>
      <c r="E719" s="3" t="s">
        <v>19</v>
      </c>
      <c r="F719" s="12">
        <f t="shared" si="22"/>
        <v>45922.795795289348</v>
      </c>
      <c r="G719" s="10" t="str">
        <f t="shared" si="23"/>
        <v>19:00:00</v>
      </c>
      <c r="H719" t="str">
        <f>LEFT(SearchData[[#This Row],[userId]],8)</f>
        <v>fb7d1ae3</v>
      </c>
    </row>
    <row r="720" spans="1:8">
      <c r="A720" t="s">
        <v>1042</v>
      </c>
      <c r="B720" t="s">
        <v>137</v>
      </c>
      <c r="C720" s="5">
        <v>45923.171394409721</v>
      </c>
      <c r="D720">
        <v>7000</v>
      </c>
      <c r="E720" s="3" t="s">
        <v>19</v>
      </c>
      <c r="F720" s="12">
        <f t="shared" si="22"/>
        <v>45922.838061076385</v>
      </c>
      <c r="G720" s="10" t="str">
        <f t="shared" si="23"/>
        <v>20:00:00</v>
      </c>
      <c r="H720" t="str">
        <f>LEFT(SearchData[[#This Row],[userId]],8)</f>
        <v>fb7d1ae3</v>
      </c>
    </row>
    <row r="721" spans="1:8">
      <c r="A721" s="1" t="s">
        <v>1043</v>
      </c>
      <c r="B721" t="s">
        <v>420</v>
      </c>
      <c r="C721" s="5">
        <v>45923.370038298614</v>
      </c>
      <c r="D721">
        <v>10</v>
      </c>
      <c r="E721" s="3" t="s">
        <v>186</v>
      </c>
      <c r="F721" s="12">
        <f t="shared" si="22"/>
        <v>45923.036704965278</v>
      </c>
      <c r="G721" s="10" t="str">
        <f t="shared" si="23"/>
        <v>01:00:00</v>
      </c>
      <c r="H721" t="str">
        <f>LEFT(SearchData[[#This Row],[userId]],8)</f>
        <v>6d2d86c1</v>
      </c>
    </row>
    <row r="722" spans="1:8">
      <c r="A722" t="s">
        <v>1044</v>
      </c>
      <c r="B722" t="s">
        <v>420</v>
      </c>
      <c r="C722" s="5">
        <v>45923.391609849539</v>
      </c>
      <c r="D722">
        <v>7000</v>
      </c>
      <c r="E722" s="3" t="s">
        <v>186</v>
      </c>
      <c r="F722" s="12">
        <f t="shared" si="22"/>
        <v>45923.058276516203</v>
      </c>
      <c r="G722" s="10" t="str">
        <f t="shared" si="23"/>
        <v>01:30:00</v>
      </c>
      <c r="H722" t="str">
        <f>LEFT(SearchData[[#This Row],[userId]],8)</f>
        <v>6d2d86c1</v>
      </c>
    </row>
    <row r="723" spans="1:8">
      <c r="A723" t="s">
        <v>1045</v>
      </c>
      <c r="B723" t="s">
        <v>563</v>
      </c>
      <c r="C723" s="5">
        <v>45923.613766249997</v>
      </c>
      <c r="D723">
        <v>10</v>
      </c>
      <c r="E723" s="3" t="s">
        <v>11</v>
      </c>
      <c r="F723" s="12">
        <f t="shared" si="22"/>
        <v>45923.280432916661</v>
      </c>
      <c r="G723" s="10" t="str">
        <f t="shared" si="23"/>
        <v>06:45:00</v>
      </c>
      <c r="H723" t="str">
        <f>LEFT(SearchData[[#This Row],[userId]],8)</f>
        <v>390c34fc</v>
      </c>
    </row>
    <row r="724" spans="1:8">
      <c r="A724" t="s">
        <v>1046</v>
      </c>
      <c r="B724" t="s">
        <v>563</v>
      </c>
      <c r="C724" s="5">
        <v>45923.61500041667</v>
      </c>
      <c r="D724">
        <v>10</v>
      </c>
      <c r="E724" s="3" t="s">
        <v>13</v>
      </c>
      <c r="F724" s="12">
        <f t="shared" si="22"/>
        <v>45923.281667083334</v>
      </c>
      <c r="G724" s="10" t="str">
        <f t="shared" si="23"/>
        <v>06:45:00</v>
      </c>
      <c r="H724" t="str">
        <f>LEFT(SearchData[[#This Row],[userId]],8)</f>
        <v>390c34fc</v>
      </c>
    </row>
    <row r="725" spans="1:8">
      <c r="A725" t="s">
        <v>1047</v>
      </c>
      <c r="B725" t="s">
        <v>563</v>
      </c>
      <c r="C725" s="5">
        <v>45923.630649837964</v>
      </c>
      <c r="D725">
        <v>7004</v>
      </c>
      <c r="E725" s="3" t="s">
        <v>11</v>
      </c>
      <c r="F725" s="12">
        <f t="shared" si="22"/>
        <v>45923.297316504628</v>
      </c>
      <c r="G725" s="10" t="str">
        <f t="shared" si="23"/>
        <v>07:15:00</v>
      </c>
      <c r="H725" t="str">
        <f>LEFT(SearchData[[#This Row],[userId]],8)</f>
        <v>390c34fc</v>
      </c>
    </row>
    <row r="726" spans="1:8">
      <c r="A726" t="s">
        <v>1048</v>
      </c>
      <c r="B726" t="s">
        <v>137</v>
      </c>
      <c r="C726" s="5">
        <v>45923.715223182873</v>
      </c>
      <c r="D726">
        <v>7003</v>
      </c>
      <c r="E726" s="3" t="s">
        <v>14</v>
      </c>
      <c r="F726" s="12">
        <f t="shared" si="22"/>
        <v>45923.381889849537</v>
      </c>
      <c r="G726" s="10" t="str">
        <f t="shared" si="23"/>
        <v>09:15:00</v>
      </c>
      <c r="H726" t="str">
        <f>LEFT(SearchData[[#This Row],[userId]],8)</f>
        <v>fb7d1ae3</v>
      </c>
    </row>
    <row r="727" spans="1:8">
      <c r="A727" t="s">
        <v>1049</v>
      </c>
      <c r="B727" t="s">
        <v>137</v>
      </c>
      <c r="C727" s="5">
        <v>45923.759304861109</v>
      </c>
      <c r="D727">
        <v>7007</v>
      </c>
      <c r="E727" s="3" t="s">
        <v>14</v>
      </c>
      <c r="F727" s="12">
        <f t="shared" si="22"/>
        <v>45923.425971527773</v>
      </c>
      <c r="G727" s="10" t="str">
        <f t="shared" si="23"/>
        <v>10:15:00</v>
      </c>
      <c r="H727" t="str">
        <f>LEFT(SearchData[[#This Row],[userId]],8)</f>
        <v>fb7d1ae3</v>
      </c>
    </row>
    <row r="728" spans="1:8">
      <c r="A728" t="s">
        <v>1050</v>
      </c>
      <c r="B728" t="s">
        <v>443</v>
      </c>
      <c r="C728" s="5">
        <v>45923.876077013891</v>
      </c>
      <c r="D728">
        <v>14</v>
      </c>
      <c r="E728" s="3" t="s">
        <v>14</v>
      </c>
      <c r="F728" s="12">
        <f t="shared" si="22"/>
        <v>45923.542743680555</v>
      </c>
      <c r="G728" s="10" t="str">
        <f t="shared" si="23"/>
        <v>13:00:00</v>
      </c>
      <c r="H728" t="str">
        <f>LEFT(SearchData[[#This Row],[userId]],8)</f>
        <v>65e0d73f</v>
      </c>
    </row>
    <row r="729" spans="1:8">
      <c r="A729" t="s">
        <v>1051</v>
      </c>
      <c r="B729" t="s">
        <v>443</v>
      </c>
      <c r="C729" s="5">
        <v>45923.876499317128</v>
      </c>
      <c r="D729">
        <v>7013</v>
      </c>
      <c r="E729" s="3" t="s">
        <v>294</v>
      </c>
      <c r="F729" s="12">
        <f t="shared" si="22"/>
        <v>45923.543165983792</v>
      </c>
      <c r="G729" s="10" t="str">
        <f t="shared" si="23"/>
        <v>13:00:00</v>
      </c>
      <c r="H729" t="str">
        <f>LEFT(SearchData[[#This Row],[userId]],8)</f>
        <v>65e0d73f</v>
      </c>
    </row>
    <row r="730" spans="1:8">
      <c r="A730" t="s">
        <v>1052</v>
      </c>
      <c r="B730" t="s">
        <v>289</v>
      </c>
      <c r="C730" s="5">
        <v>45924.199988437504</v>
      </c>
      <c r="D730">
        <v>7017</v>
      </c>
      <c r="E730" s="3" t="s">
        <v>1053</v>
      </c>
      <c r="F730" s="12">
        <f t="shared" si="22"/>
        <v>45923.866655104168</v>
      </c>
      <c r="G730" s="10" t="str">
        <f t="shared" si="23"/>
        <v>20:45:00</v>
      </c>
      <c r="H730" t="str">
        <f>LEFT(SearchData[[#This Row],[userId]],8)</f>
        <v>5db0b69a</v>
      </c>
    </row>
    <row r="731" spans="1:8">
      <c r="A731" t="s">
        <v>1054</v>
      </c>
      <c r="B731" t="s">
        <v>289</v>
      </c>
      <c r="C731" s="5">
        <v>45924.200605300925</v>
      </c>
      <c r="D731">
        <v>7017</v>
      </c>
      <c r="E731" s="3" t="s">
        <v>1055</v>
      </c>
      <c r="F731" s="12">
        <f t="shared" si="22"/>
        <v>45923.867271967589</v>
      </c>
      <c r="G731" s="10" t="str">
        <f t="shared" si="23"/>
        <v>20:45:00</v>
      </c>
      <c r="H731" t="str">
        <f>LEFT(SearchData[[#This Row],[userId]],8)</f>
        <v>5db0b69a</v>
      </c>
    </row>
    <row r="732" spans="1:8">
      <c r="A732" t="s">
        <v>1056</v>
      </c>
      <c r="B732" t="s">
        <v>289</v>
      </c>
      <c r="C732" s="5">
        <v>45924.208701400465</v>
      </c>
      <c r="D732">
        <v>7017</v>
      </c>
      <c r="E732" s="3" t="s">
        <v>11</v>
      </c>
      <c r="F732" s="12">
        <f t="shared" si="22"/>
        <v>45923.875368067129</v>
      </c>
      <c r="G732" s="10" t="str">
        <f t="shared" si="23"/>
        <v>21:00:00</v>
      </c>
      <c r="H732" t="str">
        <f>LEFT(SearchData[[#This Row],[userId]],8)</f>
        <v>5db0b69a</v>
      </c>
    </row>
    <row r="733" spans="1:8">
      <c r="A733" t="s">
        <v>1057</v>
      </c>
      <c r="B733" t="s">
        <v>192</v>
      </c>
      <c r="C733" s="5">
        <v>45924.647804513887</v>
      </c>
      <c r="D733">
        <v>7023</v>
      </c>
      <c r="E733" s="3" t="s">
        <v>1058</v>
      </c>
      <c r="F733" s="12">
        <f t="shared" si="22"/>
        <v>45924.314471180551</v>
      </c>
      <c r="G733" s="10" t="str">
        <f t="shared" si="23"/>
        <v>07:30:00</v>
      </c>
      <c r="H733" t="str">
        <f>LEFT(SearchData[[#This Row],[userId]],8)</f>
        <v>fbfa025f</v>
      </c>
    </row>
    <row r="734" spans="1:8">
      <c r="A734" t="s">
        <v>1059</v>
      </c>
      <c r="B734" t="s">
        <v>203</v>
      </c>
      <c r="C734" s="5">
        <v>45924.655259803243</v>
      </c>
      <c r="D734">
        <v>7025</v>
      </c>
      <c r="E734" s="3" t="s">
        <v>17</v>
      </c>
      <c r="F734" s="12">
        <f t="shared" si="22"/>
        <v>45924.321926469907</v>
      </c>
      <c r="G734" s="10" t="str">
        <f t="shared" si="23"/>
        <v>07:45:00</v>
      </c>
      <c r="H734" t="str">
        <f>LEFT(SearchData[[#This Row],[userId]],8)</f>
        <v>5099fed4</v>
      </c>
    </row>
    <row r="735" spans="1:8">
      <c r="A735" t="s">
        <v>1060</v>
      </c>
      <c r="B735" s="1" t="s">
        <v>614</v>
      </c>
      <c r="C735" s="5">
        <v>45924.736773379627</v>
      </c>
      <c r="D735">
        <v>7036</v>
      </c>
      <c r="E735" s="3" t="s">
        <v>493</v>
      </c>
      <c r="F735" s="12">
        <f t="shared" si="22"/>
        <v>45924.403440046292</v>
      </c>
      <c r="G735" s="10" t="str">
        <f t="shared" si="23"/>
        <v>09:45:00</v>
      </c>
      <c r="H735" t="str">
        <f>LEFT(SearchData[[#This Row],[userId]],8)</f>
        <v>154e5978</v>
      </c>
    </row>
    <row r="736" spans="1:8">
      <c r="A736" t="s">
        <v>1061</v>
      </c>
      <c r="B736" t="s">
        <v>137</v>
      </c>
      <c r="C736" s="5">
        <v>45924.796709756942</v>
      </c>
      <c r="D736">
        <v>7043</v>
      </c>
      <c r="E736" s="3" t="s">
        <v>1037</v>
      </c>
      <c r="F736" s="12">
        <f t="shared" si="22"/>
        <v>45924.463376423606</v>
      </c>
      <c r="G736" s="10" t="str">
        <f t="shared" si="23"/>
        <v>11:00:00</v>
      </c>
      <c r="H736" t="str">
        <f>LEFT(SearchData[[#This Row],[userId]],8)</f>
        <v>fb7d1ae3</v>
      </c>
    </row>
    <row r="737" spans="1:8">
      <c r="A737" t="s">
        <v>1062</v>
      </c>
      <c r="B737" s="1" t="s">
        <v>614</v>
      </c>
      <c r="C737" s="5">
        <v>45924.942309166669</v>
      </c>
      <c r="D737">
        <v>7043</v>
      </c>
      <c r="E737" s="3" t="s">
        <v>493</v>
      </c>
      <c r="F737" s="12">
        <f t="shared" si="22"/>
        <v>45924.608975833333</v>
      </c>
      <c r="G737" s="10" t="str">
        <f t="shared" si="23"/>
        <v>14:30:00</v>
      </c>
      <c r="H737" t="str">
        <f>LEFT(SearchData[[#This Row],[userId]],8)</f>
        <v>154e5978</v>
      </c>
    </row>
    <row r="738" spans="1:8">
      <c r="A738" t="s">
        <v>1063</v>
      </c>
      <c r="B738" t="s">
        <v>192</v>
      </c>
      <c r="C738" s="5">
        <v>45924.961888124999</v>
      </c>
      <c r="D738">
        <v>29</v>
      </c>
      <c r="E738" s="3" t="s">
        <v>1058</v>
      </c>
      <c r="F738" s="12">
        <f t="shared" si="22"/>
        <v>45924.628554791663</v>
      </c>
      <c r="G738" s="10" t="str">
        <f t="shared" si="23"/>
        <v>15:00:00</v>
      </c>
      <c r="H738" t="str">
        <f>LEFT(SearchData[[#This Row],[userId]],8)</f>
        <v>fbfa025f</v>
      </c>
    </row>
    <row r="739" spans="1:8">
      <c r="A739" t="s">
        <v>1064</v>
      </c>
      <c r="B739" t="s">
        <v>192</v>
      </c>
      <c r="C739" s="5">
        <v>45924.964689490742</v>
      </c>
      <c r="D739">
        <v>7046</v>
      </c>
      <c r="E739" s="3" t="s">
        <v>364</v>
      </c>
      <c r="F739" s="12">
        <f t="shared" si="22"/>
        <v>45924.631356157406</v>
      </c>
      <c r="G739" s="10" t="str">
        <f t="shared" si="23"/>
        <v>15:15:00</v>
      </c>
      <c r="H739" t="str">
        <f>LEFT(SearchData[[#This Row],[userId]],8)</f>
        <v>fbfa025f</v>
      </c>
    </row>
    <row r="740" spans="1:8">
      <c r="A740" t="s">
        <v>1065</v>
      </c>
      <c r="B740" s="1" t="s">
        <v>614</v>
      </c>
      <c r="C740" s="5">
        <v>45924.977959317126</v>
      </c>
      <c r="D740">
        <v>7046</v>
      </c>
      <c r="E740" s="3" t="s">
        <v>302</v>
      </c>
      <c r="F740" s="12">
        <f t="shared" si="22"/>
        <v>45924.64462598379</v>
      </c>
      <c r="G740" s="10" t="str">
        <f t="shared" si="23"/>
        <v>15:30:00</v>
      </c>
      <c r="H740" t="str">
        <f>LEFT(SearchData[[#This Row],[userId]],8)</f>
        <v>154e5978</v>
      </c>
    </row>
    <row r="741" spans="1:8">
      <c r="A741" t="s">
        <v>1066</v>
      </c>
      <c r="B741" s="1" t="s">
        <v>614</v>
      </c>
      <c r="C741" s="5">
        <v>45924.986610312502</v>
      </c>
      <c r="D741">
        <v>7046</v>
      </c>
      <c r="E741" s="3" t="s">
        <v>195</v>
      </c>
      <c r="F741" s="12">
        <f t="shared" si="22"/>
        <v>45924.653276979167</v>
      </c>
      <c r="G741" s="10" t="str">
        <f t="shared" si="23"/>
        <v>15:45:00</v>
      </c>
      <c r="H741" t="str">
        <f>LEFT(SearchData[[#This Row],[userId]],8)</f>
        <v>154e5978</v>
      </c>
    </row>
    <row r="742" spans="1:8">
      <c r="A742" t="s">
        <v>1067</v>
      </c>
      <c r="B742" t="s">
        <v>289</v>
      </c>
      <c r="C742" s="5">
        <v>45925.004283657407</v>
      </c>
      <c r="D742">
        <v>7048</v>
      </c>
      <c r="E742" s="3" t="s">
        <v>1055</v>
      </c>
      <c r="F742" s="12">
        <f t="shared" si="22"/>
        <v>45924.670950324071</v>
      </c>
      <c r="G742" s="10" t="str">
        <f t="shared" si="23"/>
        <v>16:00:00</v>
      </c>
      <c r="H742" t="str">
        <f>LEFT(SearchData[[#This Row],[userId]],8)</f>
        <v>5db0b69a</v>
      </c>
    </row>
    <row r="743" spans="1:8">
      <c r="A743" t="s">
        <v>1068</v>
      </c>
      <c r="B743" t="s">
        <v>699</v>
      </c>
      <c r="C743" s="5">
        <v>45925.014338078705</v>
      </c>
      <c r="D743">
        <v>312</v>
      </c>
      <c r="E743" s="3" t="s">
        <v>701</v>
      </c>
      <c r="F743" s="12">
        <f t="shared" si="22"/>
        <v>45924.681004745369</v>
      </c>
      <c r="G743" s="10" t="str">
        <f t="shared" si="23"/>
        <v>16:15:00</v>
      </c>
      <c r="H743" t="str">
        <f>LEFT(SearchData[[#This Row],[userId]],8)</f>
        <v>afc40c1e</v>
      </c>
    </row>
    <row r="744" spans="1:8">
      <c r="A744" t="s">
        <v>1069</v>
      </c>
      <c r="B744" t="s">
        <v>289</v>
      </c>
      <c r="C744" s="5">
        <v>45925.023118356483</v>
      </c>
      <c r="D744">
        <v>7048</v>
      </c>
      <c r="E744" s="3" t="s">
        <v>1070</v>
      </c>
      <c r="F744" s="12">
        <f t="shared" si="22"/>
        <v>45924.689785023147</v>
      </c>
      <c r="G744" s="10" t="str">
        <f t="shared" si="23"/>
        <v>16:30:00</v>
      </c>
      <c r="H744" t="str">
        <f>LEFT(SearchData[[#This Row],[userId]],8)</f>
        <v>5db0b69a</v>
      </c>
    </row>
    <row r="745" spans="1:8">
      <c r="A745" t="s">
        <v>1071</v>
      </c>
      <c r="B745" t="s">
        <v>699</v>
      </c>
      <c r="C745" s="5">
        <v>45925.048273414352</v>
      </c>
      <c r="D745">
        <v>7048</v>
      </c>
      <c r="E745" s="3" t="s">
        <v>701</v>
      </c>
      <c r="F745" s="12">
        <f t="shared" si="22"/>
        <v>45924.714940081016</v>
      </c>
      <c r="G745" s="10" t="str">
        <f t="shared" si="23"/>
        <v>17:15:00</v>
      </c>
      <c r="H745" t="str">
        <f>LEFT(SearchData[[#This Row],[userId]],8)</f>
        <v>afc40c1e</v>
      </c>
    </row>
    <row r="746" spans="1:8">
      <c r="A746" t="s">
        <v>1072</v>
      </c>
      <c r="B746" s="1" t="s">
        <v>614</v>
      </c>
      <c r="C746" s="5">
        <v>45925.1610171875</v>
      </c>
      <c r="D746">
        <v>7048</v>
      </c>
      <c r="E746" s="3" t="s">
        <v>493</v>
      </c>
      <c r="F746" s="12">
        <f t="shared" si="22"/>
        <v>45924.827683854164</v>
      </c>
      <c r="G746" s="10" t="str">
        <f t="shared" si="23"/>
        <v>19:45:00</v>
      </c>
      <c r="H746" t="str">
        <f>LEFT(SearchData[[#This Row],[userId]],8)</f>
        <v>154e5978</v>
      </c>
    </row>
    <row r="747" spans="1:8">
      <c r="A747" t="s">
        <v>1073</v>
      </c>
      <c r="B747" t="s">
        <v>289</v>
      </c>
      <c r="C747" s="5">
        <v>45925.198638125003</v>
      </c>
      <c r="D747">
        <v>7048</v>
      </c>
      <c r="E747" s="3" t="s">
        <v>1074</v>
      </c>
      <c r="F747" s="12">
        <f t="shared" si="22"/>
        <v>45924.865304791667</v>
      </c>
      <c r="G747" s="10" t="str">
        <f t="shared" si="23"/>
        <v>20:45:00</v>
      </c>
      <c r="H747" t="str">
        <f>LEFT(SearchData[[#This Row],[userId]],8)</f>
        <v>5db0b69a</v>
      </c>
    </row>
    <row r="748" spans="1:8">
      <c r="A748" t="s">
        <v>1075</v>
      </c>
      <c r="B748" s="1" t="s">
        <v>614</v>
      </c>
      <c r="C748" s="5">
        <v>45925.296678368053</v>
      </c>
      <c r="D748">
        <v>7048</v>
      </c>
      <c r="E748" s="3" t="s">
        <v>493</v>
      </c>
      <c r="F748" s="12">
        <f t="shared" si="22"/>
        <v>45924.963345034717</v>
      </c>
      <c r="G748" s="10" t="str">
        <f t="shared" si="23"/>
        <v>23:00:00</v>
      </c>
      <c r="H748" t="str">
        <f>LEFT(SearchData[[#This Row],[userId]],8)</f>
        <v>154e5978</v>
      </c>
    </row>
    <row r="749" spans="1:8">
      <c r="A749" t="s">
        <v>1076</v>
      </c>
      <c r="B749" t="s">
        <v>137</v>
      </c>
      <c r="C749" s="5">
        <v>45925.860767407408</v>
      </c>
      <c r="D749">
        <v>42</v>
      </c>
      <c r="E749" s="3" t="s">
        <v>195</v>
      </c>
      <c r="F749" s="12">
        <f t="shared" si="22"/>
        <v>45925.527434074073</v>
      </c>
      <c r="G749" s="10" t="str">
        <f t="shared" si="23"/>
        <v>12:45:00</v>
      </c>
      <c r="H749" t="str">
        <f>LEFT(SearchData[[#This Row],[userId]],8)</f>
        <v>fb7d1ae3</v>
      </c>
    </row>
    <row r="750" spans="1:8">
      <c r="A750" t="s">
        <v>1077</v>
      </c>
      <c r="B750" t="s">
        <v>137</v>
      </c>
      <c r="C750" s="5">
        <v>45925.875454374996</v>
      </c>
      <c r="D750">
        <v>7019</v>
      </c>
      <c r="E750" s="3" t="s">
        <v>14</v>
      </c>
      <c r="F750" s="12">
        <f t="shared" si="22"/>
        <v>45925.542121041661</v>
      </c>
      <c r="G750" s="10" t="str">
        <f t="shared" si="23"/>
        <v>13:00:00</v>
      </c>
      <c r="H750" t="str">
        <f>LEFT(SearchData[[#This Row],[userId]],8)</f>
        <v>fb7d1ae3</v>
      </c>
    </row>
    <row r="751" spans="1:8">
      <c r="A751" t="s">
        <v>1078</v>
      </c>
      <c r="B751" t="s">
        <v>137</v>
      </c>
      <c r="C751" s="5">
        <v>45925.893565162034</v>
      </c>
      <c r="D751">
        <v>42</v>
      </c>
      <c r="E751" s="3" t="s">
        <v>1079</v>
      </c>
      <c r="F751" s="12">
        <f t="shared" si="22"/>
        <v>45925.560231828698</v>
      </c>
      <c r="G751" s="10" t="str">
        <f t="shared" si="23"/>
        <v>13:30:00</v>
      </c>
      <c r="H751" t="str">
        <f>LEFT(SearchData[[#This Row],[userId]],8)</f>
        <v>fb7d1ae3</v>
      </c>
    </row>
    <row r="752" spans="1:8">
      <c r="A752" t="s">
        <v>1080</v>
      </c>
      <c r="B752" t="s">
        <v>137</v>
      </c>
      <c r="C752" s="5">
        <v>45925.978313321757</v>
      </c>
      <c r="D752">
        <v>44</v>
      </c>
      <c r="E752" s="3" t="s">
        <v>1079</v>
      </c>
      <c r="F752" s="12">
        <f t="shared" si="22"/>
        <v>45925.644979988421</v>
      </c>
      <c r="G752" s="10" t="str">
        <f t="shared" si="23"/>
        <v>15:30:00</v>
      </c>
      <c r="H752" t="str">
        <f>LEFT(SearchData[[#This Row],[userId]],8)</f>
        <v>fb7d1ae3</v>
      </c>
    </row>
    <row r="753" spans="1:8">
      <c r="A753" t="s">
        <v>1081</v>
      </c>
      <c r="B753" s="1" t="s">
        <v>614</v>
      </c>
      <c r="C753" s="5">
        <v>45926.005036180555</v>
      </c>
      <c r="D753">
        <v>7063</v>
      </c>
      <c r="E753" s="3" t="s">
        <v>493</v>
      </c>
      <c r="F753" s="12">
        <f t="shared" si="22"/>
        <v>45925.671702847219</v>
      </c>
      <c r="G753" s="10" t="str">
        <f t="shared" si="23"/>
        <v>16:00:00</v>
      </c>
      <c r="H753" t="str">
        <f>LEFT(SearchData[[#This Row],[userId]],8)</f>
        <v>154e5978</v>
      </c>
    </row>
    <row r="754" spans="1:8">
      <c r="A754" t="s">
        <v>1082</v>
      </c>
      <c r="B754" s="1" t="s">
        <v>614</v>
      </c>
      <c r="C754" s="5">
        <v>45926.006206238424</v>
      </c>
      <c r="D754">
        <v>7063</v>
      </c>
      <c r="E754" s="3" t="s">
        <v>195</v>
      </c>
      <c r="F754" s="12">
        <f t="shared" si="22"/>
        <v>45925.672872905088</v>
      </c>
      <c r="G754" s="10" t="str">
        <f t="shared" si="23"/>
        <v>16:15:00</v>
      </c>
      <c r="H754" t="str">
        <f>LEFT(SearchData[[#This Row],[userId]],8)</f>
        <v>154e5978</v>
      </c>
    </row>
    <row r="755" spans="1:8">
      <c r="A755" t="s">
        <v>1083</v>
      </c>
      <c r="B755" s="1" t="s">
        <v>614</v>
      </c>
      <c r="C755" s="5">
        <v>45926.161980937497</v>
      </c>
      <c r="D755">
        <v>7065</v>
      </c>
      <c r="E755" s="3" t="s">
        <v>195</v>
      </c>
      <c r="F755" s="12">
        <f t="shared" si="22"/>
        <v>45925.828647604161</v>
      </c>
      <c r="G755" s="10" t="str">
        <f t="shared" si="23"/>
        <v>20:00:00</v>
      </c>
      <c r="H755" t="str">
        <f>LEFT(SearchData[[#This Row],[userId]],8)</f>
        <v>154e5978</v>
      </c>
    </row>
    <row r="756" spans="1:8">
      <c r="A756" t="s">
        <v>1084</v>
      </c>
      <c r="B756" t="s">
        <v>391</v>
      </c>
      <c r="C756" s="5">
        <v>45926.185674791668</v>
      </c>
      <c r="D756">
        <v>92876</v>
      </c>
      <c r="E756" s="3" t="s">
        <v>296</v>
      </c>
      <c r="F756" s="12">
        <f t="shared" si="22"/>
        <v>45925.852341458332</v>
      </c>
      <c r="G756" s="10" t="str">
        <f t="shared" si="23"/>
        <v>20:30:00</v>
      </c>
      <c r="H756" t="str">
        <f>LEFT(SearchData[[#This Row],[userId]],8)</f>
        <v>162b0343</v>
      </c>
    </row>
    <row r="757" spans="1:8">
      <c r="A757" t="s">
        <v>1085</v>
      </c>
      <c r="B757" s="1" t="s">
        <v>614</v>
      </c>
      <c r="C757" s="5">
        <v>45926.309327673611</v>
      </c>
      <c r="D757">
        <v>7065</v>
      </c>
      <c r="E757" s="3" t="s">
        <v>195</v>
      </c>
      <c r="F757" s="12">
        <f t="shared" si="22"/>
        <v>45925.975994340275</v>
      </c>
      <c r="G757" s="10" t="str">
        <f t="shared" si="23"/>
        <v>23:30:00</v>
      </c>
      <c r="H757" t="str">
        <f>LEFT(SearchData[[#This Row],[userId]],8)</f>
        <v>154e5978</v>
      </c>
    </row>
    <row r="758" spans="1:8">
      <c r="A758" t="s">
        <v>1086</v>
      </c>
      <c r="B758" t="s">
        <v>487</v>
      </c>
      <c r="C758" s="5">
        <v>45926.368481701385</v>
      </c>
      <c r="D758">
        <v>7065</v>
      </c>
      <c r="E758" s="3" t="s">
        <v>296</v>
      </c>
      <c r="F758" s="12">
        <f t="shared" si="22"/>
        <v>45926.03514836805</v>
      </c>
      <c r="G758" s="10" t="str">
        <f t="shared" si="23"/>
        <v>00:45:00</v>
      </c>
      <c r="H758" t="str">
        <f>LEFT(SearchData[[#This Row],[userId]],8)</f>
        <v>f676770a</v>
      </c>
    </row>
    <row r="759" spans="1:8">
      <c r="A759" t="s">
        <v>1087</v>
      </c>
      <c r="B759" t="s">
        <v>391</v>
      </c>
      <c r="C759" s="5">
        <v>45926.389647662036</v>
      </c>
      <c r="D759">
        <v>92879</v>
      </c>
      <c r="E759" s="3" t="s">
        <v>776</v>
      </c>
      <c r="F759" s="12">
        <f t="shared" si="22"/>
        <v>45926.0563143287</v>
      </c>
      <c r="G759" s="10" t="str">
        <f t="shared" si="23"/>
        <v>01:15:00</v>
      </c>
      <c r="H759" t="str">
        <f>LEFT(SearchData[[#This Row],[userId]],8)</f>
        <v>162b0343</v>
      </c>
    </row>
    <row r="760" spans="1:8">
      <c r="A760" t="s">
        <v>1088</v>
      </c>
      <c r="B760" t="s">
        <v>487</v>
      </c>
      <c r="C760" s="5">
        <v>45926.39224375</v>
      </c>
      <c r="D760">
        <v>7065</v>
      </c>
      <c r="E760" s="3" t="s">
        <v>302</v>
      </c>
      <c r="F760" s="12">
        <f t="shared" si="22"/>
        <v>45926.058910416665</v>
      </c>
      <c r="G760" s="10" t="str">
        <f t="shared" si="23"/>
        <v>01:30:00</v>
      </c>
      <c r="H760" t="str">
        <f>LEFT(SearchData[[#This Row],[userId]],8)</f>
        <v>f676770a</v>
      </c>
    </row>
    <row r="761" spans="1:8">
      <c r="A761" t="s">
        <v>1089</v>
      </c>
      <c r="B761" s="1" t="s">
        <v>614</v>
      </c>
      <c r="C761" s="5">
        <v>45926.393201458333</v>
      </c>
      <c r="D761">
        <v>7065</v>
      </c>
      <c r="E761" s="3" t="s">
        <v>195</v>
      </c>
      <c r="F761" s="12">
        <f t="shared" si="22"/>
        <v>45926.059868124998</v>
      </c>
      <c r="G761" s="10" t="str">
        <f t="shared" si="23"/>
        <v>01:30:00</v>
      </c>
      <c r="H761" t="str">
        <f>LEFT(SearchData[[#This Row],[userId]],8)</f>
        <v>154e5978</v>
      </c>
    </row>
    <row r="762" spans="1:8">
      <c r="A762" t="s">
        <v>1090</v>
      </c>
      <c r="B762" s="1" t="s">
        <v>614</v>
      </c>
      <c r="C762" s="5">
        <v>45926.458312847222</v>
      </c>
      <c r="D762">
        <v>7065</v>
      </c>
      <c r="E762" s="3" t="s">
        <v>195</v>
      </c>
      <c r="F762" s="12">
        <f t="shared" si="22"/>
        <v>45926.124979513887</v>
      </c>
      <c r="G762" s="10" t="str">
        <f t="shared" si="23"/>
        <v>03:00:00</v>
      </c>
      <c r="H762" t="str">
        <f>LEFT(SearchData[[#This Row],[userId]],8)</f>
        <v>154e5978</v>
      </c>
    </row>
    <row r="763" spans="1:8">
      <c r="A763" t="s">
        <v>1091</v>
      </c>
      <c r="B763" t="s">
        <v>611</v>
      </c>
      <c r="C763" s="5">
        <v>45926.633048171294</v>
      </c>
      <c r="D763">
        <v>7067</v>
      </c>
      <c r="E763" s="3" t="s">
        <v>1092</v>
      </c>
      <c r="F763" s="12">
        <f t="shared" si="22"/>
        <v>45926.299714837958</v>
      </c>
      <c r="G763" s="10" t="str">
        <f t="shared" si="23"/>
        <v>07:15:00</v>
      </c>
      <c r="H763" t="str">
        <f>LEFT(SearchData[[#This Row],[userId]],8)</f>
        <v>cf20f9c8</v>
      </c>
    </row>
    <row r="764" spans="1:8">
      <c r="A764" t="s">
        <v>1093</v>
      </c>
      <c r="B764" t="s">
        <v>137</v>
      </c>
      <c r="C764" s="5">
        <v>45926.654840138886</v>
      </c>
      <c r="D764">
        <v>46</v>
      </c>
      <c r="E764" s="3" t="s">
        <v>1079</v>
      </c>
      <c r="F764" s="12">
        <f t="shared" si="22"/>
        <v>45926.321506805551</v>
      </c>
      <c r="G764" s="10" t="str">
        <f t="shared" si="23"/>
        <v>07:45:00</v>
      </c>
      <c r="H764" t="str">
        <f>LEFT(SearchData[[#This Row],[userId]],8)</f>
        <v>fb7d1ae3</v>
      </c>
    </row>
    <row r="765" spans="1:8">
      <c r="A765" t="s">
        <v>1094</v>
      </c>
      <c r="B765" t="s">
        <v>137</v>
      </c>
      <c r="C765" s="5">
        <v>45926.698810000002</v>
      </c>
      <c r="D765">
        <v>46</v>
      </c>
      <c r="E765" s="3" t="s">
        <v>1079</v>
      </c>
      <c r="F765" s="12">
        <f t="shared" si="22"/>
        <v>45926.365476666666</v>
      </c>
      <c r="G765" s="10" t="str">
        <f t="shared" si="23"/>
        <v>08:45:00</v>
      </c>
      <c r="H765" t="str">
        <f>LEFT(SearchData[[#This Row],[userId]],8)</f>
        <v>fb7d1ae3</v>
      </c>
    </row>
    <row r="766" spans="1:8">
      <c r="A766" t="s">
        <v>1095</v>
      </c>
      <c r="B766" t="s">
        <v>611</v>
      </c>
      <c r="C766" s="5">
        <v>45926.709186504631</v>
      </c>
      <c r="D766">
        <v>7067</v>
      </c>
      <c r="E766" s="3" t="s">
        <v>1092</v>
      </c>
      <c r="F766" s="12">
        <f t="shared" si="22"/>
        <v>45926.375853171296</v>
      </c>
      <c r="G766" s="10" t="str">
        <f t="shared" si="23"/>
        <v>09:00:00</v>
      </c>
      <c r="H766" t="str">
        <f>LEFT(SearchData[[#This Row],[userId]],8)</f>
        <v>cf20f9c8</v>
      </c>
    </row>
    <row r="767" spans="1:8">
      <c r="A767" t="s">
        <v>1096</v>
      </c>
      <c r="B767" s="1" t="s">
        <v>614</v>
      </c>
      <c r="C767" s="5">
        <v>45926.779253935187</v>
      </c>
      <c r="D767">
        <v>7070</v>
      </c>
      <c r="E767" s="3" t="s">
        <v>195</v>
      </c>
      <c r="F767" s="12">
        <f t="shared" si="22"/>
        <v>45926.445920601851</v>
      </c>
      <c r="G767" s="10" t="str">
        <f t="shared" si="23"/>
        <v>10:45:00</v>
      </c>
      <c r="H767" t="str">
        <f>LEFT(SearchData[[#This Row],[userId]],8)</f>
        <v>154e5978</v>
      </c>
    </row>
    <row r="768" spans="1:8">
      <c r="A768" t="s">
        <v>1097</v>
      </c>
      <c r="B768" t="s">
        <v>611</v>
      </c>
      <c r="C768" s="5">
        <v>45926.787009872685</v>
      </c>
      <c r="D768">
        <v>7071</v>
      </c>
      <c r="E768" s="3" t="s">
        <v>1092</v>
      </c>
      <c r="F768" s="12">
        <f t="shared" si="22"/>
        <v>45926.45367653935</v>
      </c>
      <c r="G768" s="10" t="str">
        <f t="shared" si="23"/>
        <v>11:00:00</v>
      </c>
      <c r="H768" t="str">
        <f>LEFT(SearchData[[#This Row],[userId]],8)</f>
        <v>cf20f9c8</v>
      </c>
    </row>
    <row r="769" spans="1:8">
      <c r="A769" t="s">
        <v>1098</v>
      </c>
      <c r="B769" t="s">
        <v>137</v>
      </c>
      <c r="C769" s="5">
        <v>45926.952603622682</v>
      </c>
      <c r="D769">
        <v>7070</v>
      </c>
      <c r="E769" s="3" t="s">
        <v>13</v>
      </c>
      <c r="F769" s="12">
        <f t="shared" si="22"/>
        <v>45926.619270289346</v>
      </c>
      <c r="G769" s="10" t="str">
        <f t="shared" si="23"/>
        <v>14:45:00</v>
      </c>
      <c r="H769" t="str">
        <f>LEFT(SearchData[[#This Row],[userId]],8)</f>
        <v>fb7d1ae3</v>
      </c>
    </row>
    <row r="770" spans="1:8">
      <c r="A770" t="s">
        <v>1099</v>
      </c>
      <c r="B770" t="s">
        <v>137</v>
      </c>
      <c r="C770" s="5">
        <v>45926.959002256946</v>
      </c>
      <c r="D770">
        <v>7070</v>
      </c>
      <c r="E770" s="3" t="s">
        <v>13</v>
      </c>
      <c r="F770" s="12">
        <f t="shared" ref="F770:F810" si="24">C770-TIME(8,0,0)</f>
        <v>45926.625668923611</v>
      </c>
      <c r="G770" s="10" t="str">
        <f t="shared" ref="G770:G810" si="25">TEXT(MROUND(C770-TIME(8,0,0), "0:15"),"HH:MM:SS")</f>
        <v>15:00:00</v>
      </c>
      <c r="H770" t="str">
        <f>LEFT(SearchData[[#This Row],[userId]],8)</f>
        <v>fb7d1ae3</v>
      </c>
    </row>
    <row r="771" spans="1:8">
      <c r="A771" t="s">
        <v>1100</v>
      </c>
      <c r="B771" t="s">
        <v>527</v>
      </c>
      <c r="C771" s="5">
        <v>45926.977712233798</v>
      </c>
      <c r="D771">
        <v>7070</v>
      </c>
      <c r="E771" s="3" t="s">
        <v>1101</v>
      </c>
      <c r="F771" s="12">
        <f t="shared" si="24"/>
        <v>45926.644378900462</v>
      </c>
      <c r="G771" s="10" t="str">
        <f t="shared" si="25"/>
        <v>15:30:00</v>
      </c>
      <c r="H771" t="str">
        <f>LEFT(SearchData[[#This Row],[userId]],8)</f>
        <v>0e8ecca7</v>
      </c>
    </row>
    <row r="772" spans="1:8">
      <c r="A772" t="s">
        <v>1102</v>
      </c>
      <c r="B772" s="1" t="s">
        <v>614</v>
      </c>
      <c r="C772" s="5">
        <v>45926.987079513892</v>
      </c>
      <c r="D772">
        <v>7070</v>
      </c>
      <c r="E772" s="3" t="s">
        <v>195</v>
      </c>
      <c r="F772" s="12">
        <f t="shared" si="24"/>
        <v>45926.653746180556</v>
      </c>
      <c r="G772" s="10" t="str">
        <f t="shared" si="25"/>
        <v>15:45:00</v>
      </c>
      <c r="H772" t="str">
        <f>LEFT(SearchData[[#This Row],[userId]],8)</f>
        <v>154e5978</v>
      </c>
    </row>
    <row r="773" spans="1:8">
      <c r="A773" t="s">
        <v>1103</v>
      </c>
      <c r="B773" t="s">
        <v>137</v>
      </c>
      <c r="C773" s="5">
        <v>45927.01107552083</v>
      </c>
      <c r="D773">
        <v>6643</v>
      </c>
      <c r="E773" s="3" t="s">
        <v>173</v>
      </c>
      <c r="F773" s="12">
        <f t="shared" si="24"/>
        <v>45926.677742187494</v>
      </c>
      <c r="G773" s="10" t="str">
        <f t="shared" si="25"/>
        <v>16:15:00</v>
      </c>
      <c r="H773" t="str">
        <f>LEFT(SearchData[[#This Row],[userId]],8)</f>
        <v>fb7d1ae3</v>
      </c>
    </row>
    <row r="774" spans="1:8">
      <c r="A774" t="s">
        <v>1104</v>
      </c>
      <c r="B774" t="s">
        <v>527</v>
      </c>
      <c r="C774" s="5">
        <v>45927.05833537037</v>
      </c>
      <c r="D774">
        <v>7070</v>
      </c>
      <c r="E774" s="3" t="s">
        <v>1101</v>
      </c>
      <c r="F774" s="12">
        <f t="shared" si="24"/>
        <v>45926.725002037034</v>
      </c>
      <c r="G774" s="10" t="str">
        <f t="shared" si="25"/>
        <v>17:30:00</v>
      </c>
      <c r="H774" t="str">
        <f>LEFT(SearchData[[#This Row],[userId]],8)</f>
        <v>0e8ecca7</v>
      </c>
    </row>
    <row r="775" spans="1:8">
      <c r="A775" t="s">
        <v>1105</v>
      </c>
      <c r="B775" s="1" t="s">
        <v>614</v>
      </c>
      <c r="C775" s="5">
        <v>45927.157827673611</v>
      </c>
      <c r="D775">
        <v>7070</v>
      </c>
      <c r="E775" s="3" t="s">
        <v>195</v>
      </c>
      <c r="F775" s="12">
        <f t="shared" si="24"/>
        <v>45926.824494340275</v>
      </c>
      <c r="G775" s="10" t="str">
        <f t="shared" si="25"/>
        <v>19:45:00</v>
      </c>
      <c r="H775" t="str">
        <f>LEFT(SearchData[[#This Row],[userId]],8)</f>
        <v>154e5978</v>
      </c>
    </row>
    <row r="776" spans="1:8">
      <c r="A776" t="s">
        <v>1106</v>
      </c>
      <c r="B776" t="s">
        <v>391</v>
      </c>
      <c r="C776" s="5">
        <v>45927.22924025463</v>
      </c>
      <c r="D776">
        <v>93054</v>
      </c>
      <c r="E776" s="3" t="s">
        <v>776</v>
      </c>
      <c r="F776" s="12">
        <f t="shared" si="24"/>
        <v>45926.895906921294</v>
      </c>
      <c r="G776" s="10" t="str">
        <f t="shared" si="25"/>
        <v>21:30:00</v>
      </c>
      <c r="H776" t="str">
        <f>LEFT(SearchData[[#This Row],[userId]],8)</f>
        <v>162b0343</v>
      </c>
    </row>
    <row r="777" spans="1:8">
      <c r="A777" t="s">
        <v>1107</v>
      </c>
      <c r="B777" s="1" t="s">
        <v>614</v>
      </c>
      <c r="C777" s="5">
        <v>45927.229384085651</v>
      </c>
      <c r="D777">
        <v>7070</v>
      </c>
      <c r="E777" s="3" t="s">
        <v>195</v>
      </c>
      <c r="F777" s="12">
        <f t="shared" si="24"/>
        <v>45926.896050752315</v>
      </c>
      <c r="G777" s="10" t="str">
        <f t="shared" si="25"/>
        <v>21:30:00</v>
      </c>
      <c r="H777" t="str">
        <f>LEFT(SearchData[[#This Row],[userId]],8)</f>
        <v>154e5978</v>
      </c>
    </row>
    <row r="778" spans="1:8">
      <c r="A778" t="s">
        <v>1108</v>
      </c>
      <c r="B778" s="1" t="s">
        <v>614</v>
      </c>
      <c r="C778" s="5">
        <v>45927.285298252318</v>
      </c>
      <c r="D778">
        <v>7070</v>
      </c>
      <c r="E778" s="3" t="s">
        <v>195</v>
      </c>
      <c r="F778" s="12">
        <f t="shared" si="24"/>
        <v>45926.951964918982</v>
      </c>
      <c r="G778" s="10" t="str">
        <f t="shared" si="25"/>
        <v>22:45:00</v>
      </c>
      <c r="H778" t="str">
        <f>LEFT(SearchData[[#This Row],[userId]],8)</f>
        <v>154e5978</v>
      </c>
    </row>
    <row r="779" spans="1:8">
      <c r="A779" t="s">
        <v>1109</v>
      </c>
      <c r="B779" s="1" t="s">
        <v>614</v>
      </c>
      <c r="C779" s="5">
        <v>45927.365445902775</v>
      </c>
      <c r="D779">
        <v>7070</v>
      </c>
      <c r="E779" s="3" t="s">
        <v>195</v>
      </c>
      <c r="F779" s="12">
        <f t="shared" si="24"/>
        <v>45927.032112569439</v>
      </c>
      <c r="G779" s="10" t="str">
        <f t="shared" si="25"/>
        <v>00:45:00</v>
      </c>
      <c r="H779" t="str">
        <f>LEFT(SearchData[[#This Row],[userId]],8)</f>
        <v>154e5978</v>
      </c>
    </row>
    <row r="780" spans="1:8">
      <c r="A780" t="s">
        <v>1110</v>
      </c>
      <c r="B780" t="s">
        <v>203</v>
      </c>
      <c r="C780" s="5">
        <v>45927.835839363426</v>
      </c>
      <c r="D780">
        <v>7070</v>
      </c>
      <c r="E780" s="3" t="s">
        <v>416</v>
      </c>
      <c r="F780" s="12">
        <f t="shared" si="24"/>
        <v>45927.50250603009</v>
      </c>
      <c r="G780" s="10" t="str">
        <f t="shared" si="25"/>
        <v>12:00:00</v>
      </c>
      <c r="H780" t="str">
        <f>LEFT(SearchData[[#This Row],[userId]],8)</f>
        <v>5099fed4</v>
      </c>
    </row>
    <row r="781" spans="1:8">
      <c r="A781" t="s">
        <v>1111</v>
      </c>
      <c r="B781" t="s">
        <v>1112</v>
      </c>
      <c r="C781" s="5">
        <v>45927.900843530093</v>
      </c>
      <c r="D781">
        <v>46</v>
      </c>
      <c r="E781" s="3" t="s">
        <v>1113</v>
      </c>
      <c r="F781" s="12">
        <f t="shared" si="24"/>
        <v>45927.567510196757</v>
      </c>
      <c r="G781" s="10" t="str">
        <f t="shared" si="25"/>
        <v>13:30:00</v>
      </c>
      <c r="H781" t="str">
        <f>LEFT(SearchData[[#This Row],[userId]],8)</f>
        <v>9d79733b</v>
      </c>
    </row>
    <row r="782" spans="1:8">
      <c r="A782" t="s">
        <v>1114</v>
      </c>
      <c r="B782" t="s">
        <v>1112</v>
      </c>
      <c r="C782" s="5">
        <v>45927.901581226855</v>
      </c>
      <c r="D782">
        <v>7070</v>
      </c>
      <c r="E782" s="3" t="s">
        <v>1115</v>
      </c>
      <c r="F782" s="12">
        <f t="shared" si="24"/>
        <v>45927.56824789352</v>
      </c>
      <c r="G782" s="10" t="str">
        <f t="shared" si="25"/>
        <v>13:45:00</v>
      </c>
      <c r="H782" t="str">
        <f>LEFT(SearchData[[#This Row],[userId]],8)</f>
        <v>9d79733b</v>
      </c>
    </row>
    <row r="783" spans="1:8">
      <c r="A783" t="s">
        <v>1116</v>
      </c>
      <c r="B783" t="s">
        <v>1112</v>
      </c>
      <c r="C783" s="5">
        <v>45927.902787685183</v>
      </c>
      <c r="D783">
        <v>46</v>
      </c>
      <c r="E783" s="3" t="s">
        <v>1117</v>
      </c>
      <c r="F783" s="12">
        <f t="shared" si="24"/>
        <v>45927.569454351848</v>
      </c>
      <c r="G783" s="10" t="str">
        <f t="shared" si="25"/>
        <v>13:45:00</v>
      </c>
      <c r="H783" t="str">
        <f>LEFT(SearchData[[#This Row],[userId]],8)</f>
        <v>9d79733b</v>
      </c>
    </row>
    <row r="784" spans="1:8">
      <c r="A784" t="s">
        <v>1118</v>
      </c>
      <c r="B784" t="s">
        <v>1112</v>
      </c>
      <c r="C784" s="5">
        <v>45927.903166168981</v>
      </c>
      <c r="D784">
        <v>7070</v>
      </c>
      <c r="E784" s="3" t="s">
        <v>1119</v>
      </c>
      <c r="F784" s="12">
        <f t="shared" si="24"/>
        <v>45927.569832835645</v>
      </c>
      <c r="G784" s="10" t="str">
        <f t="shared" si="25"/>
        <v>13:45:00</v>
      </c>
      <c r="H784" t="str">
        <f>LEFT(SearchData[[#This Row],[userId]],8)</f>
        <v>9d79733b</v>
      </c>
    </row>
    <row r="785" spans="1:8">
      <c r="A785" t="s">
        <v>1120</v>
      </c>
      <c r="B785" s="1" t="s">
        <v>614</v>
      </c>
      <c r="C785" s="5">
        <v>45927.995559363429</v>
      </c>
      <c r="D785">
        <v>7070</v>
      </c>
      <c r="E785" s="3" t="s">
        <v>195</v>
      </c>
      <c r="F785" s="12">
        <f t="shared" si="24"/>
        <v>45927.662226030094</v>
      </c>
      <c r="G785" s="10" t="str">
        <f t="shared" si="25"/>
        <v>16:00:00</v>
      </c>
      <c r="H785" t="str">
        <f>LEFT(SearchData[[#This Row],[userId]],8)</f>
        <v>154e5978</v>
      </c>
    </row>
    <row r="786" spans="1:8">
      <c r="A786" t="s">
        <v>1121</v>
      </c>
      <c r="B786" t="s">
        <v>281</v>
      </c>
      <c r="C786" s="5">
        <v>45928.046730636575</v>
      </c>
      <c r="D786">
        <v>46</v>
      </c>
      <c r="E786" s="3" t="s">
        <v>1122</v>
      </c>
      <c r="F786" s="12">
        <f t="shared" si="24"/>
        <v>45927.71339730324</v>
      </c>
      <c r="G786" s="10" t="str">
        <f t="shared" si="25"/>
        <v>17:00:00</v>
      </c>
      <c r="H786" t="str">
        <f>LEFT(SearchData[[#This Row],[userId]],8)</f>
        <v>fc8596ff</v>
      </c>
    </row>
    <row r="787" spans="1:8">
      <c r="A787" t="s">
        <v>1123</v>
      </c>
      <c r="B787" s="1" t="s">
        <v>614</v>
      </c>
      <c r="C787" s="5">
        <v>45928.080367488423</v>
      </c>
      <c r="D787">
        <v>7070</v>
      </c>
      <c r="E787" s="3" t="s">
        <v>195</v>
      </c>
      <c r="F787" s="12">
        <f t="shared" si="24"/>
        <v>45927.747034155087</v>
      </c>
      <c r="G787" s="10" t="str">
        <f t="shared" si="25"/>
        <v>18:00:00</v>
      </c>
      <c r="H787" t="str">
        <f>LEFT(SearchData[[#This Row],[userId]],8)</f>
        <v>154e5978</v>
      </c>
    </row>
    <row r="788" spans="1:8">
      <c r="A788" t="s">
        <v>1124</v>
      </c>
      <c r="B788" s="1" t="s">
        <v>614</v>
      </c>
      <c r="C788" s="5">
        <v>45928.292803761571</v>
      </c>
      <c r="D788">
        <v>7070</v>
      </c>
      <c r="E788" s="3" t="s">
        <v>195</v>
      </c>
      <c r="F788" s="12">
        <f t="shared" si="24"/>
        <v>45927.959470428235</v>
      </c>
      <c r="G788" s="10" t="str">
        <f t="shared" si="25"/>
        <v>23:00:00</v>
      </c>
      <c r="H788" t="str">
        <f>LEFT(SearchData[[#This Row],[userId]],8)</f>
        <v>154e5978</v>
      </c>
    </row>
    <row r="789" spans="1:8">
      <c r="A789" t="s">
        <v>1125</v>
      </c>
      <c r="B789" t="s">
        <v>487</v>
      </c>
      <c r="C789" s="5">
        <v>45928.30130511574</v>
      </c>
      <c r="D789">
        <v>7070</v>
      </c>
      <c r="E789" s="3" t="s">
        <v>186</v>
      </c>
      <c r="F789" s="12">
        <f t="shared" si="24"/>
        <v>45927.967971782404</v>
      </c>
      <c r="G789" s="10" t="str">
        <f t="shared" si="25"/>
        <v>23:15:00</v>
      </c>
      <c r="H789" t="str">
        <f>LEFT(SearchData[[#This Row],[userId]],8)</f>
        <v>f676770a</v>
      </c>
    </row>
    <row r="790" spans="1:8">
      <c r="A790" t="s">
        <v>1126</v>
      </c>
      <c r="B790" t="s">
        <v>487</v>
      </c>
      <c r="C790" s="5">
        <v>45928.326288935183</v>
      </c>
      <c r="D790">
        <v>7070</v>
      </c>
      <c r="E790" s="3" t="s">
        <v>302</v>
      </c>
      <c r="F790" s="12">
        <f t="shared" si="24"/>
        <v>45927.992955601847</v>
      </c>
      <c r="G790" s="10" t="str">
        <f t="shared" si="25"/>
        <v>23:45:00</v>
      </c>
      <c r="H790" t="str">
        <f>LEFT(SearchData[[#This Row],[userId]],8)</f>
        <v>f676770a</v>
      </c>
    </row>
    <row r="791" spans="1:8">
      <c r="A791" t="s">
        <v>1127</v>
      </c>
      <c r="B791" s="1" t="s">
        <v>614</v>
      </c>
      <c r="C791" s="5">
        <v>45928.472105868059</v>
      </c>
      <c r="D791">
        <v>7070</v>
      </c>
      <c r="E791" s="3" t="s">
        <v>195</v>
      </c>
      <c r="F791" s="12">
        <f t="shared" si="24"/>
        <v>45928.138772534723</v>
      </c>
      <c r="G791" s="10" t="str">
        <f t="shared" si="25"/>
        <v>03:15:00</v>
      </c>
      <c r="H791" t="str">
        <f>LEFT(SearchData[[#This Row],[userId]],8)</f>
        <v>154e5978</v>
      </c>
    </row>
    <row r="792" spans="1:8">
      <c r="A792" t="s">
        <v>1128</v>
      </c>
      <c r="B792" t="s">
        <v>1112</v>
      </c>
      <c r="C792" s="5">
        <v>45928.715275069444</v>
      </c>
      <c r="D792">
        <v>7070</v>
      </c>
      <c r="E792" s="3" t="s">
        <v>1129</v>
      </c>
      <c r="F792" s="12">
        <f t="shared" si="24"/>
        <v>45928.381941736108</v>
      </c>
      <c r="G792" s="10" t="str">
        <f t="shared" si="25"/>
        <v>09:15:00</v>
      </c>
      <c r="H792" t="str">
        <f>LEFT(SearchData[[#This Row],[userId]],8)</f>
        <v>9d79733b</v>
      </c>
    </row>
    <row r="793" spans="1:8">
      <c r="A793" t="s">
        <v>1130</v>
      </c>
      <c r="B793" t="s">
        <v>1112</v>
      </c>
      <c r="C793" s="5">
        <v>45928.716561168978</v>
      </c>
      <c r="D793">
        <v>7070</v>
      </c>
      <c r="E793" s="3" t="s">
        <v>1119</v>
      </c>
      <c r="F793" s="12">
        <f t="shared" si="24"/>
        <v>45928.383227835642</v>
      </c>
      <c r="G793" s="10" t="str">
        <f t="shared" si="25"/>
        <v>09:15:00</v>
      </c>
      <c r="H793" t="str">
        <f>LEFT(SearchData[[#This Row],[userId]],8)</f>
        <v>9d79733b</v>
      </c>
    </row>
    <row r="794" spans="1:8">
      <c r="A794" t="s">
        <v>1131</v>
      </c>
      <c r="B794" t="s">
        <v>611</v>
      </c>
      <c r="C794" s="5">
        <v>45928.74109239583</v>
      </c>
      <c r="D794">
        <v>7070</v>
      </c>
      <c r="E794" s="3" t="s">
        <v>13</v>
      </c>
      <c r="F794" s="12">
        <f t="shared" si="24"/>
        <v>45928.407759062495</v>
      </c>
      <c r="G794" s="10" t="str">
        <f t="shared" si="25"/>
        <v>09:45:00</v>
      </c>
      <c r="H794" t="str">
        <f>LEFT(SearchData[[#This Row],[userId]],8)</f>
        <v>cf20f9c8</v>
      </c>
    </row>
    <row r="795" spans="1:8">
      <c r="A795" t="s">
        <v>1132</v>
      </c>
      <c r="B795" t="s">
        <v>611</v>
      </c>
      <c r="C795" s="5">
        <v>45928.859328784725</v>
      </c>
      <c r="D795">
        <v>7070</v>
      </c>
      <c r="E795" s="3" t="s">
        <v>13</v>
      </c>
      <c r="F795" s="12">
        <f t="shared" si="24"/>
        <v>45928.525995451389</v>
      </c>
      <c r="G795" s="10" t="str">
        <f t="shared" si="25"/>
        <v>12:30:00</v>
      </c>
      <c r="H795" t="str">
        <f>LEFT(SearchData[[#This Row],[userId]],8)</f>
        <v>cf20f9c8</v>
      </c>
    </row>
    <row r="796" spans="1:8">
      <c r="A796" t="s">
        <v>1133</v>
      </c>
      <c r="B796" t="s">
        <v>1112</v>
      </c>
      <c r="C796" s="5">
        <v>45928.877882337962</v>
      </c>
      <c r="D796">
        <v>7070</v>
      </c>
      <c r="E796" s="3" t="s">
        <v>1119</v>
      </c>
      <c r="F796" s="12">
        <f t="shared" si="24"/>
        <v>45928.544549004626</v>
      </c>
      <c r="G796" s="10" t="str">
        <f t="shared" si="25"/>
        <v>13:00:00</v>
      </c>
      <c r="H796" t="str">
        <f>LEFT(SearchData[[#This Row],[userId]],8)</f>
        <v>9d79733b</v>
      </c>
    </row>
    <row r="797" spans="1:8">
      <c r="A797" t="s">
        <v>1134</v>
      </c>
      <c r="B797" t="s">
        <v>611</v>
      </c>
      <c r="C797" s="5">
        <v>45928.887625694442</v>
      </c>
      <c r="D797">
        <v>7070</v>
      </c>
      <c r="E797" s="3" t="s">
        <v>13</v>
      </c>
      <c r="F797" s="12">
        <f t="shared" si="24"/>
        <v>45928.554292361106</v>
      </c>
      <c r="G797" s="10" t="str">
        <f t="shared" si="25"/>
        <v>13:15:00</v>
      </c>
      <c r="H797" t="str">
        <f>LEFT(SearchData[[#This Row],[userId]],8)</f>
        <v>cf20f9c8</v>
      </c>
    </row>
    <row r="798" spans="1:8">
      <c r="A798" t="s">
        <v>1135</v>
      </c>
      <c r="B798" t="s">
        <v>611</v>
      </c>
      <c r="C798" s="5">
        <v>45928.940995127312</v>
      </c>
      <c r="D798">
        <v>7070</v>
      </c>
      <c r="E798" s="3" t="s">
        <v>13</v>
      </c>
      <c r="F798" s="12">
        <f t="shared" si="24"/>
        <v>45928.607661793976</v>
      </c>
      <c r="G798" s="10" t="str">
        <f t="shared" si="25"/>
        <v>14:30:00</v>
      </c>
      <c r="H798" t="str">
        <f>LEFT(SearchData[[#This Row],[userId]],8)</f>
        <v>cf20f9c8</v>
      </c>
    </row>
    <row r="799" spans="1:8">
      <c r="A799" t="s">
        <v>1136</v>
      </c>
      <c r="B799" t="s">
        <v>611</v>
      </c>
      <c r="C799" s="5">
        <v>45929.631003148148</v>
      </c>
      <c r="D799">
        <v>7072</v>
      </c>
      <c r="E799" s="3" t="s">
        <v>13</v>
      </c>
      <c r="F799" s="12">
        <f t="shared" si="24"/>
        <v>45929.297669814812</v>
      </c>
      <c r="G799" s="10" t="str">
        <f t="shared" si="25"/>
        <v>07:15:00</v>
      </c>
      <c r="H799" t="str">
        <f>LEFT(SearchData[[#This Row],[userId]],8)</f>
        <v>cf20f9c8</v>
      </c>
    </row>
    <row r="800" spans="1:8">
      <c r="A800" t="s">
        <v>1137</v>
      </c>
      <c r="B800" t="s">
        <v>611</v>
      </c>
      <c r="C800" s="5">
        <v>45929.668972025465</v>
      </c>
      <c r="D800">
        <v>7060</v>
      </c>
      <c r="E800" s="3" t="s">
        <v>13</v>
      </c>
      <c r="F800" s="12">
        <f t="shared" si="24"/>
        <v>45929.33563869213</v>
      </c>
      <c r="G800" s="10" t="str">
        <f t="shared" si="25"/>
        <v>08:00:00</v>
      </c>
      <c r="H800" t="str">
        <f>LEFT(SearchData[[#This Row],[userId]],8)</f>
        <v>cf20f9c8</v>
      </c>
    </row>
    <row r="801" spans="1:8">
      <c r="A801" t="s">
        <v>1138</v>
      </c>
      <c r="B801" t="s">
        <v>611</v>
      </c>
      <c r="C801" s="5">
        <v>45929.762754432872</v>
      </c>
      <c r="D801">
        <v>7063</v>
      </c>
      <c r="E801" s="3" t="s">
        <v>129</v>
      </c>
      <c r="F801" s="12">
        <f t="shared" si="24"/>
        <v>45929.429421099536</v>
      </c>
      <c r="G801" s="10" t="str">
        <f t="shared" si="25"/>
        <v>10:15:00</v>
      </c>
      <c r="H801" t="str">
        <f>LEFT(SearchData[[#This Row],[userId]],8)</f>
        <v>cf20f9c8</v>
      </c>
    </row>
    <row r="802" spans="1:8">
      <c r="A802" t="s">
        <v>1139</v>
      </c>
      <c r="B802" t="s">
        <v>443</v>
      </c>
      <c r="C802" s="5">
        <v>45929.83001834491</v>
      </c>
      <c r="D802">
        <v>7018</v>
      </c>
      <c r="E802" s="3" t="s">
        <v>14</v>
      </c>
      <c r="F802" s="12">
        <f t="shared" si="24"/>
        <v>45929.496685011574</v>
      </c>
      <c r="G802" s="10" t="str">
        <f t="shared" si="25"/>
        <v>12:00:00</v>
      </c>
      <c r="H802" t="str">
        <f>LEFT(SearchData[[#This Row],[userId]],8)</f>
        <v>65e0d73f</v>
      </c>
    </row>
    <row r="803" spans="1:8">
      <c r="A803" t="s">
        <v>1140</v>
      </c>
      <c r="B803" t="s">
        <v>611</v>
      </c>
      <c r="C803" s="5">
        <v>45929.941331527778</v>
      </c>
      <c r="D803">
        <v>7065</v>
      </c>
      <c r="E803" s="3" t="s">
        <v>11</v>
      </c>
      <c r="F803" s="12">
        <f t="shared" si="24"/>
        <v>45929.607998194442</v>
      </c>
      <c r="G803" s="10" t="str">
        <f t="shared" si="25"/>
        <v>14:30:00</v>
      </c>
      <c r="H803" t="str">
        <f>LEFT(SearchData[[#This Row],[userId]],8)</f>
        <v>cf20f9c8</v>
      </c>
    </row>
    <row r="804" spans="1:8">
      <c r="A804" t="s">
        <v>1141</v>
      </c>
      <c r="B804" t="s">
        <v>289</v>
      </c>
      <c r="C804" s="5">
        <v>45930.000181724536</v>
      </c>
      <c r="D804">
        <v>7065</v>
      </c>
      <c r="E804" s="3" t="s">
        <v>1142</v>
      </c>
      <c r="F804" s="12">
        <f t="shared" si="24"/>
        <v>45929.6668483912</v>
      </c>
      <c r="G804" s="10" t="str">
        <f t="shared" si="25"/>
        <v>16:00:00</v>
      </c>
      <c r="H804" t="str">
        <f>LEFT(SearchData[[#This Row],[userId]],8)</f>
        <v>5db0b69a</v>
      </c>
    </row>
    <row r="805" spans="1:8">
      <c r="A805" t="s">
        <v>1143</v>
      </c>
      <c r="B805" t="s">
        <v>289</v>
      </c>
      <c r="C805" s="5">
        <v>45930.00550028935</v>
      </c>
      <c r="D805">
        <v>7065</v>
      </c>
      <c r="E805" s="3" t="s">
        <v>1144</v>
      </c>
      <c r="F805" s="12">
        <f t="shared" si="24"/>
        <v>45929.672166956014</v>
      </c>
      <c r="G805" s="10" t="str">
        <f t="shared" si="25"/>
        <v>16:15:00</v>
      </c>
      <c r="H805" t="str">
        <f>LEFT(SearchData[[#This Row],[userId]],8)</f>
        <v>5db0b69a</v>
      </c>
    </row>
    <row r="806" spans="1:8">
      <c r="A806" t="s">
        <v>1145</v>
      </c>
      <c r="B806" t="s">
        <v>611</v>
      </c>
      <c r="C806" s="5">
        <v>45930.006132013892</v>
      </c>
      <c r="D806">
        <v>7065</v>
      </c>
      <c r="E806" s="3" t="s">
        <v>1146</v>
      </c>
      <c r="F806" s="12">
        <f t="shared" si="24"/>
        <v>45929.672798680556</v>
      </c>
      <c r="G806" s="10" t="str">
        <f t="shared" si="25"/>
        <v>16:15:00</v>
      </c>
      <c r="H806" t="str">
        <f>LEFT(SearchData[[#This Row],[userId]],8)</f>
        <v>cf20f9c8</v>
      </c>
    </row>
    <row r="807" spans="1:8">
      <c r="A807" t="s">
        <v>1147</v>
      </c>
      <c r="B807" t="s">
        <v>699</v>
      </c>
      <c r="C807" s="5">
        <v>45930.011036539348</v>
      </c>
      <c r="D807">
        <v>7065</v>
      </c>
      <c r="E807" s="3" t="s">
        <v>20</v>
      </c>
      <c r="F807" s="12">
        <f t="shared" si="24"/>
        <v>45929.677703206013</v>
      </c>
      <c r="G807" s="10" t="str">
        <f t="shared" si="25"/>
        <v>16:15:00</v>
      </c>
      <c r="H807" t="str">
        <f>LEFT(SearchData[[#This Row],[userId]],8)</f>
        <v>afc40c1e</v>
      </c>
    </row>
    <row r="808" spans="1:8">
      <c r="A808" t="s">
        <v>1148</v>
      </c>
      <c r="B808" t="s">
        <v>611</v>
      </c>
      <c r="C808" s="5">
        <v>45930.054577129631</v>
      </c>
      <c r="D808">
        <v>7065</v>
      </c>
      <c r="E808" s="3" t="s">
        <v>1149</v>
      </c>
      <c r="F808" s="12">
        <f t="shared" si="24"/>
        <v>45929.721243796295</v>
      </c>
      <c r="G808" s="10" t="str">
        <f t="shared" si="25"/>
        <v>17:15:00</v>
      </c>
      <c r="H808" t="str">
        <f>LEFT(SearchData[[#This Row],[userId]],8)</f>
        <v>cf20f9c8</v>
      </c>
    </row>
    <row r="809" spans="1:8">
      <c r="A809" t="s">
        <v>1150</v>
      </c>
      <c r="B809" t="s">
        <v>289</v>
      </c>
      <c r="C809" s="5">
        <v>45930.169353993057</v>
      </c>
      <c r="D809">
        <v>7065</v>
      </c>
      <c r="E809" s="3" t="s">
        <v>11</v>
      </c>
      <c r="F809" s="12">
        <f t="shared" si="24"/>
        <v>45929.836020659721</v>
      </c>
      <c r="G809" s="10" t="str">
        <f t="shared" si="25"/>
        <v>20:00:00</v>
      </c>
      <c r="H809" t="str">
        <f>LEFT(SearchData[[#This Row],[userId]],8)</f>
        <v>5db0b69a</v>
      </c>
    </row>
    <row r="810" spans="1:8">
      <c r="A810" t="s">
        <v>1151</v>
      </c>
      <c r="B810" t="s">
        <v>443</v>
      </c>
      <c r="C810" s="5">
        <v>45930.902884363422</v>
      </c>
      <c r="D810">
        <v>46</v>
      </c>
      <c r="E810" s="3" t="s">
        <v>14</v>
      </c>
      <c r="F810" s="12">
        <f t="shared" si="24"/>
        <v>45930.569551030087</v>
      </c>
      <c r="G810" s="10" t="str">
        <f t="shared" si="25"/>
        <v>13:45:00</v>
      </c>
      <c r="H810" t="str">
        <f>LEFT(SearchData[[#This Row],[userId]],8)</f>
        <v>65e0d73f</v>
      </c>
    </row>
    <row r="811" spans="1:8">
      <c r="A811" t="s">
        <v>1196</v>
      </c>
      <c r="B811" t="s">
        <v>487</v>
      </c>
      <c r="C811" s="5">
        <v>45931.097521585645</v>
      </c>
      <c r="D811">
        <v>7053</v>
      </c>
      <c r="E811" s="3" t="s">
        <v>296</v>
      </c>
      <c r="F811" s="12">
        <f t="shared" ref="F811:F855" si="26">C811-TIME(8,0,0)</f>
        <v>45930.764188252309</v>
      </c>
      <c r="G811" s="10" t="str">
        <f t="shared" ref="G811:G855" si="27">TEXT(MROUND(C811-TIME(8,0,0), "0:15"),"HH:MM:SS")</f>
        <v>18:15:00</v>
      </c>
      <c r="H811" s="14" t="str">
        <f>LEFT(SearchData[[#This Row],[userId]],8)</f>
        <v>f676770a</v>
      </c>
    </row>
    <row r="812" spans="1:8">
      <c r="A812" t="s">
        <v>1197</v>
      </c>
      <c r="B812" t="s">
        <v>487</v>
      </c>
      <c r="C812" s="5">
        <v>45931.311106875</v>
      </c>
      <c r="D812">
        <v>7053</v>
      </c>
      <c r="E812" s="3" t="s">
        <v>296</v>
      </c>
      <c r="F812" s="12">
        <f t="shared" si="26"/>
        <v>45930.977773541665</v>
      </c>
      <c r="G812" s="10" t="str">
        <f t="shared" si="27"/>
        <v>23:30:00</v>
      </c>
      <c r="H812" s="14" t="str">
        <f>LEFT(SearchData[[#This Row],[userId]],8)</f>
        <v>f676770a</v>
      </c>
    </row>
    <row r="813" spans="1:8">
      <c r="A813" t="s">
        <v>1198</v>
      </c>
      <c r="B813" t="s">
        <v>487</v>
      </c>
      <c r="C813" s="5">
        <v>45931.440330497688</v>
      </c>
      <c r="D813">
        <v>7053</v>
      </c>
      <c r="E813" s="3" t="s">
        <v>1199</v>
      </c>
      <c r="F813" s="12">
        <f t="shared" si="26"/>
        <v>45931.106997164352</v>
      </c>
      <c r="G813" s="10" t="str">
        <f t="shared" si="27"/>
        <v>02:30:00</v>
      </c>
      <c r="H813" s="14" t="str">
        <f>LEFT(SearchData[[#This Row],[userId]],8)</f>
        <v>f676770a</v>
      </c>
    </row>
    <row r="814" spans="1:8">
      <c r="A814" t="s">
        <v>1200</v>
      </c>
      <c r="B814" t="s">
        <v>487</v>
      </c>
      <c r="C814" s="5">
        <v>45931.443167581019</v>
      </c>
      <c r="D814">
        <v>7053</v>
      </c>
      <c r="E814" s="3" t="s">
        <v>493</v>
      </c>
      <c r="F814" s="12">
        <f t="shared" si="26"/>
        <v>45931.109834247683</v>
      </c>
      <c r="G814" s="10" t="str">
        <f t="shared" si="27"/>
        <v>02:45:00</v>
      </c>
      <c r="H814" s="14" t="str">
        <f>LEFT(SearchData[[#This Row],[userId]],8)</f>
        <v>f676770a</v>
      </c>
    </row>
    <row r="815" spans="1:8">
      <c r="A815" t="s">
        <v>1201</v>
      </c>
      <c r="B815" t="s">
        <v>137</v>
      </c>
      <c r="C815" s="5">
        <v>45931.807543009258</v>
      </c>
      <c r="D815">
        <v>7051</v>
      </c>
      <c r="E815" s="3" t="s">
        <v>14</v>
      </c>
      <c r="F815" s="12">
        <f t="shared" si="26"/>
        <v>45931.474209675922</v>
      </c>
      <c r="G815" s="10" t="str">
        <f t="shared" si="27"/>
        <v>11:30:00</v>
      </c>
      <c r="H815" s="14" t="str">
        <f>LEFT(SearchData[[#This Row],[userId]],8)</f>
        <v>fb7d1ae3</v>
      </c>
    </row>
    <row r="816" spans="1:8">
      <c r="A816" t="s">
        <v>1202</v>
      </c>
      <c r="B816" t="s">
        <v>443</v>
      </c>
      <c r="C816" s="5">
        <v>45931.986900381948</v>
      </c>
      <c r="D816">
        <v>46</v>
      </c>
      <c r="E816" s="3" t="s">
        <v>14</v>
      </c>
      <c r="F816" s="12">
        <f t="shared" si="26"/>
        <v>45931.653567048612</v>
      </c>
      <c r="G816" s="10" t="str">
        <f t="shared" si="27"/>
        <v>15:45:00</v>
      </c>
      <c r="H816" s="14" t="str">
        <f>LEFT(SearchData[[#This Row],[userId]],8)</f>
        <v>65e0d73f</v>
      </c>
    </row>
    <row r="817" spans="1:8">
      <c r="A817" s="1" t="s">
        <v>1203</v>
      </c>
      <c r="B817" t="s">
        <v>487</v>
      </c>
      <c r="C817" s="5">
        <v>45932.392893564815</v>
      </c>
      <c r="D817">
        <v>7053</v>
      </c>
      <c r="E817" s="3" t="s">
        <v>302</v>
      </c>
      <c r="F817" s="12">
        <f t="shared" si="26"/>
        <v>45932.059560231479</v>
      </c>
      <c r="G817" s="10" t="str">
        <f t="shared" si="27"/>
        <v>01:30:00</v>
      </c>
      <c r="H817" s="14" t="str">
        <f>LEFT(SearchData[[#This Row],[userId]],8)</f>
        <v>f676770a</v>
      </c>
    </row>
    <row r="818" spans="1:8">
      <c r="A818" t="s">
        <v>1204</v>
      </c>
      <c r="B818" t="s">
        <v>487</v>
      </c>
      <c r="C818" s="5">
        <v>45933.333470358797</v>
      </c>
      <c r="D818">
        <v>91569</v>
      </c>
      <c r="E818" s="3" t="s">
        <v>302</v>
      </c>
      <c r="F818" s="12">
        <f t="shared" si="26"/>
        <v>45933.000137025461</v>
      </c>
      <c r="G818" s="10" t="str">
        <f t="shared" si="27"/>
        <v>00:00:00</v>
      </c>
      <c r="H818" s="14" t="str">
        <f>LEFT(SearchData[[#This Row],[userId]],8)</f>
        <v>f676770a</v>
      </c>
    </row>
    <row r="819" spans="1:8">
      <c r="A819" t="s">
        <v>1205</v>
      </c>
      <c r="B819" t="s">
        <v>137</v>
      </c>
      <c r="C819" s="5">
        <v>45933.664978379631</v>
      </c>
      <c r="D819">
        <v>46</v>
      </c>
      <c r="E819" s="3" t="s">
        <v>1206</v>
      </c>
      <c r="F819" s="12">
        <f t="shared" si="26"/>
        <v>45933.331645046295</v>
      </c>
      <c r="G819" s="10" t="str">
        <f t="shared" si="27"/>
        <v>08:00:00</v>
      </c>
      <c r="H819" s="14" t="str">
        <f>LEFT(SearchData[[#This Row],[userId]],8)</f>
        <v>fb7d1ae3</v>
      </c>
    </row>
    <row r="820" spans="1:8">
      <c r="A820" t="s">
        <v>1207</v>
      </c>
      <c r="B820" t="s">
        <v>137</v>
      </c>
      <c r="C820" s="5">
        <v>45933.667028321761</v>
      </c>
      <c r="D820">
        <v>1</v>
      </c>
      <c r="E820" s="3" t="s">
        <v>1206</v>
      </c>
      <c r="F820" s="12">
        <f t="shared" si="26"/>
        <v>45933.333694988425</v>
      </c>
      <c r="G820" s="10" t="str">
        <f t="shared" si="27"/>
        <v>08:00:00</v>
      </c>
      <c r="H820" s="14" t="str">
        <f>LEFT(SearchData[[#This Row],[userId]],8)</f>
        <v>fb7d1ae3</v>
      </c>
    </row>
    <row r="821" spans="1:8">
      <c r="A821" t="s">
        <v>1208</v>
      </c>
      <c r="B821" t="s">
        <v>137</v>
      </c>
      <c r="C821" s="5">
        <v>45933.772847175926</v>
      </c>
      <c r="D821">
        <v>6632</v>
      </c>
      <c r="E821" s="3" t="s">
        <v>13</v>
      </c>
      <c r="F821" s="12">
        <f t="shared" si="26"/>
        <v>45933.43951384259</v>
      </c>
      <c r="G821" s="10" t="str">
        <f t="shared" si="27"/>
        <v>10:30:00</v>
      </c>
      <c r="H821" s="14" t="str">
        <f>LEFT(SearchData[[#This Row],[userId]],8)</f>
        <v>fb7d1ae3</v>
      </c>
    </row>
    <row r="822" spans="1:8">
      <c r="A822" t="s">
        <v>1209</v>
      </c>
      <c r="B822" t="s">
        <v>137</v>
      </c>
      <c r="C822" s="5">
        <v>45934.014987245369</v>
      </c>
      <c r="D822">
        <v>7044</v>
      </c>
      <c r="E822" s="3" t="s">
        <v>14</v>
      </c>
      <c r="F822" s="12">
        <f t="shared" si="26"/>
        <v>45933.681653912034</v>
      </c>
      <c r="G822" s="10" t="str">
        <f t="shared" si="27"/>
        <v>16:15:00</v>
      </c>
      <c r="H822" s="14" t="str">
        <f>LEFT(SearchData[[#This Row],[userId]],8)</f>
        <v>fb7d1ae3</v>
      </c>
    </row>
    <row r="823" spans="1:8">
      <c r="A823" t="s">
        <v>1210</v>
      </c>
      <c r="B823" t="s">
        <v>487</v>
      </c>
      <c r="C823" s="5">
        <v>45934.269675706018</v>
      </c>
      <c r="D823">
        <v>46</v>
      </c>
      <c r="E823" s="3" t="s">
        <v>1211</v>
      </c>
      <c r="F823" s="12">
        <f t="shared" si="26"/>
        <v>45933.936342372683</v>
      </c>
      <c r="G823" s="10" t="str">
        <f t="shared" si="27"/>
        <v>22:30:00</v>
      </c>
      <c r="H823" s="14" t="str">
        <f>LEFT(SearchData[[#This Row],[userId]],8)</f>
        <v>f676770a</v>
      </c>
    </row>
    <row r="824" spans="1:8">
      <c r="A824" t="s">
        <v>1212</v>
      </c>
      <c r="B824" t="s">
        <v>487</v>
      </c>
      <c r="C824" s="5">
        <v>45934.270623298609</v>
      </c>
      <c r="D824">
        <v>46</v>
      </c>
      <c r="E824" s="3" t="s">
        <v>1213</v>
      </c>
      <c r="F824" s="12">
        <f t="shared" si="26"/>
        <v>45933.937289965274</v>
      </c>
      <c r="G824" s="10" t="str">
        <f t="shared" si="27"/>
        <v>22:30:00</v>
      </c>
      <c r="H824" s="14" t="str">
        <f>LEFT(SearchData[[#This Row],[userId]],8)</f>
        <v>f676770a</v>
      </c>
    </row>
    <row r="825" spans="1:8">
      <c r="A825" t="s">
        <v>1214</v>
      </c>
      <c r="B825" t="s">
        <v>487</v>
      </c>
      <c r="C825" s="5">
        <v>45934.271194143519</v>
      </c>
      <c r="D825">
        <v>46</v>
      </c>
      <c r="E825" s="3" t="s">
        <v>296</v>
      </c>
      <c r="F825" s="12">
        <f t="shared" si="26"/>
        <v>45933.937860810183</v>
      </c>
      <c r="G825" s="10" t="str">
        <f t="shared" si="27"/>
        <v>22:30:00</v>
      </c>
      <c r="H825" s="14" t="str">
        <f>LEFT(SearchData[[#This Row],[userId]],8)</f>
        <v>f676770a</v>
      </c>
    </row>
    <row r="826" spans="1:8">
      <c r="A826" t="s">
        <v>1215</v>
      </c>
      <c r="B826" t="s">
        <v>289</v>
      </c>
      <c r="C826" s="5">
        <v>45934.278650405089</v>
      </c>
      <c r="D826">
        <v>7044</v>
      </c>
      <c r="E826" s="3" t="s">
        <v>1216</v>
      </c>
      <c r="F826" s="12">
        <f t="shared" si="26"/>
        <v>45933.945317071753</v>
      </c>
      <c r="G826" s="10" t="str">
        <f t="shared" si="27"/>
        <v>22:45:00</v>
      </c>
      <c r="H826" s="14" t="str">
        <f>LEFT(SearchData[[#This Row],[userId]],8)</f>
        <v>5db0b69a</v>
      </c>
    </row>
    <row r="827" spans="1:8">
      <c r="A827" t="s">
        <v>1217</v>
      </c>
      <c r="B827" t="s">
        <v>487</v>
      </c>
      <c r="C827" s="5">
        <v>45934.398170787033</v>
      </c>
      <c r="D827">
        <v>91656</v>
      </c>
      <c r="E827" s="3" t="s">
        <v>302</v>
      </c>
      <c r="F827" s="12">
        <f t="shared" si="26"/>
        <v>45934.064837453698</v>
      </c>
      <c r="G827" s="10" t="str">
        <f t="shared" si="27"/>
        <v>01:30:00</v>
      </c>
      <c r="H827" s="14" t="str">
        <f>LEFT(SearchData[[#This Row],[userId]],8)</f>
        <v>f676770a</v>
      </c>
    </row>
    <row r="828" spans="1:8">
      <c r="A828" t="s">
        <v>1218</v>
      </c>
      <c r="B828" t="s">
        <v>611</v>
      </c>
      <c r="C828" s="5">
        <v>45934.900621064815</v>
      </c>
      <c r="D828">
        <v>7044</v>
      </c>
      <c r="E828" s="3" t="s">
        <v>11</v>
      </c>
      <c r="F828" s="12">
        <f t="shared" si="26"/>
        <v>45934.567287731479</v>
      </c>
      <c r="G828" s="10" t="str">
        <f t="shared" si="27"/>
        <v>13:30:00</v>
      </c>
      <c r="H828" s="14" t="str">
        <f>LEFT(SearchData[[#This Row],[userId]],8)</f>
        <v>cf20f9c8</v>
      </c>
    </row>
    <row r="829" spans="1:8">
      <c r="A829" t="s">
        <v>1219</v>
      </c>
      <c r="B829" t="s">
        <v>391</v>
      </c>
      <c r="C829" s="5">
        <v>45935.261456053238</v>
      </c>
      <c r="D829">
        <v>91682</v>
      </c>
      <c r="E829" s="3" t="s">
        <v>776</v>
      </c>
      <c r="F829" s="12">
        <f t="shared" si="26"/>
        <v>45934.928122719903</v>
      </c>
      <c r="G829" s="10" t="str">
        <f t="shared" si="27"/>
        <v>22:15:00</v>
      </c>
      <c r="H829" s="14" t="str">
        <f>LEFT(SearchData[[#This Row],[userId]],8)</f>
        <v>162b0343</v>
      </c>
    </row>
    <row r="830" spans="1:8">
      <c r="A830" t="s">
        <v>1220</v>
      </c>
      <c r="B830" t="s">
        <v>281</v>
      </c>
      <c r="C830" s="5">
        <v>45935.957473888891</v>
      </c>
      <c r="D830">
        <v>7044</v>
      </c>
      <c r="E830" s="3" t="s">
        <v>186</v>
      </c>
      <c r="F830" s="12">
        <f t="shared" si="26"/>
        <v>45935.624140555556</v>
      </c>
      <c r="G830" s="10" t="str">
        <f t="shared" si="27"/>
        <v>15:00:00</v>
      </c>
      <c r="H830" s="14" t="str">
        <f>LEFT(SearchData[[#This Row],[userId]],8)</f>
        <v>fc8596ff</v>
      </c>
    </row>
    <row r="831" spans="1:8">
      <c r="A831" t="s">
        <v>1221</v>
      </c>
      <c r="B831" t="s">
        <v>391</v>
      </c>
      <c r="C831" s="5">
        <v>45936.126966215277</v>
      </c>
      <c r="D831">
        <v>91685</v>
      </c>
      <c r="E831" s="3" t="s">
        <v>776</v>
      </c>
      <c r="F831" s="12">
        <f t="shared" si="26"/>
        <v>45935.793632881941</v>
      </c>
      <c r="G831" s="10" t="str">
        <f t="shared" si="27"/>
        <v>19:00:00</v>
      </c>
      <c r="H831" s="14" t="str">
        <f>LEFT(SearchData[[#This Row],[userId]],8)</f>
        <v>162b0343</v>
      </c>
    </row>
    <row r="832" spans="1:8">
      <c r="A832" t="s">
        <v>1222</v>
      </c>
      <c r="B832" t="s">
        <v>611</v>
      </c>
      <c r="C832" s="5">
        <v>45936.265613113428</v>
      </c>
      <c r="D832">
        <v>7044</v>
      </c>
      <c r="E832" s="3" t="s">
        <v>692</v>
      </c>
      <c r="F832" s="12">
        <f t="shared" si="26"/>
        <v>45935.932279780092</v>
      </c>
      <c r="G832" s="10" t="str">
        <f t="shared" si="27"/>
        <v>22:15:00</v>
      </c>
      <c r="H832" s="14" t="str">
        <f>LEFT(SearchData[[#This Row],[userId]],8)</f>
        <v>cf20f9c8</v>
      </c>
    </row>
    <row r="833" spans="1:8">
      <c r="A833" t="s">
        <v>1223</v>
      </c>
      <c r="B833" t="s">
        <v>1224</v>
      </c>
      <c r="C833" s="5">
        <v>45937.084855879628</v>
      </c>
      <c r="D833">
        <v>46</v>
      </c>
      <c r="E833" s="3" t="s">
        <v>1225</v>
      </c>
      <c r="F833" s="12">
        <f t="shared" si="26"/>
        <v>45936.751522546292</v>
      </c>
      <c r="G833" s="10" t="str">
        <f t="shared" si="27"/>
        <v>18:00:00</v>
      </c>
      <c r="H833" s="14" t="str">
        <f>LEFT(SearchData[[#This Row],[userId]],8)</f>
        <v>bffb65a5</v>
      </c>
    </row>
    <row r="834" spans="1:8">
      <c r="A834" t="s">
        <v>1226</v>
      </c>
      <c r="B834" t="s">
        <v>1224</v>
      </c>
      <c r="C834" s="5">
        <v>45937.085493645835</v>
      </c>
      <c r="D834">
        <v>46</v>
      </c>
      <c r="E834" s="3" t="s">
        <v>1227</v>
      </c>
      <c r="F834" s="12">
        <f t="shared" si="26"/>
        <v>45936.752160312499</v>
      </c>
      <c r="G834" s="10" t="str">
        <f t="shared" si="27"/>
        <v>18:00:00</v>
      </c>
      <c r="H834" s="14" t="str">
        <f>LEFT(SearchData[[#This Row],[userId]],8)</f>
        <v>bffb65a5</v>
      </c>
    </row>
    <row r="835" spans="1:8">
      <c r="A835" t="s">
        <v>1228</v>
      </c>
      <c r="B835" t="s">
        <v>611</v>
      </c>
      <c r="C835" s="5">
        <v>45937.715109131947</v>
      </c>
      <c r="D835">
        <v>7044</v>
      </c>
      <c r="E835" s="3" t="s">
        <v>1142</v>
      </c>
      <c r="F835" s="12">
        <f t="shared" si="26"/>
        <v>45937.381775798611</v>
      </c>
      <c r="G835" s="10" t="str">
        <f t="shared" si="27"/>
        <v>09:15:00</v>
      </c>
      <c r="H835" s="14" t="str">
        <f>LEFT(SearchData[[#This Row],[userId]],8)</f>
        <v>cf20f9c8</v>
      </c>
    </row>
    <row r="836" spans="1:8">
      <c r="A836" t="s">
        <v>1229</v>
      </c>
      <c r="B836" t="s">
        <v>137</v>
      </c>
      <c r="C836" s="5">
        <v>45937.846449293982</v>
      </c>
      <c r="D836">
        <v>46</v>
      </c>
      <c r="E836" s="3" t="s">
        <v>1206</v>
      </c>
      <c r="F836" s="12">
        <f t="shared" si="26"/>
        <v>45937.513115960646</v>
      </c>
      <c r="G836" s="10" t="str">
        <f t="shared" si="27"/>
        <v>12:15:00</v>
      </c>
      <c r="H836" s="14" t="str">
        <f>LEFT(SearchData[[#This Row],[userId]],8)</f>
        <v>fb7d1ae3</v>
      </c>
    </row>
    <row r="837" spans="1:8">
      <c r="A837" t="s">
        <v>1230</v>
      </c>
      <c r="B837" t="s">
        <v>611</v>
      </c>
      <c r="C837" s="5">
        <v>45937.910264444443</v>
      </c>
      <c r="D837">
        <v>7032</v>
      </c>
      <c r="E837" s="3" t="s">
        <v>692</v>
      </c>
      <c r="F837" s="12">
        <f t="shared" si="26"/>
        <v>45937.576931111107</v>
      </c>
      <c r="G837" s="10" t="str">
        <f t="shared" si="27"/>
        <v>13:45:00</v>
      </c>
      <c r="H837" s="14" t="str">
        <f>LEFT(SearchData[[#This Row],[userId]],8)</f>
        <v>cf20f9c8</v>
      </c>
    </row>
    <row r="838" spans="1:8">
      <c r="A838" t="s">
        <v>1231</v>
      </c>
      <c r="B838" t="s">
        <v>611</v>
      </c>
      <c r="C838" s="5">
        <v>45937.91858730324</v>
      </c>
      <c r="D838">
        <v>7021</v>
      </c>
      <c r="E838" s="3" t="s">
        <v>692</v>
      </c>
      <c r="F838" s="12">
        <f t="shared" si="26"/>
        <v>45937.585253969904</v>
      </c>
      <c r="G838" s="10" t="str">
        <f t="shared" si="27"/>
        <v>14:00:00</v>
      </c>
      <c r="H838" s="14" t="str">
        <f>LEFT(SearchData[[#This Row],[userId]],8)</f>
        <v>cf20f9c8</v>
      </c>
    </row>
    <row r="839" spans="1:8">
      <c r="A839" t="s">
        <v>1232</v>
      </c>
      <c r="B839" t="s">
        <v>527</v>
      </c>
      <c r="C839" s="5">
        <v>45937.926093043985</v>
      </c>
      <c r="D839">
        <v>46</v>
      </c>
      <c r="E839" s="3" t="s">
        <v>1233</v>
      </c>
      <c r="F839" s="12">
        <f t="shared" si="26"/>
        <v>45937.592759710649</v>
      </c>
      <c r="G839" s="10" t="str">
        <f t="shared" si="27"/>
        <v>14:15:00</v>
      </c>
      <c r="H839" s="14" t="str">
        <f>LEFT(SearchData[[#This Row],[userId]],8)</f>
        <v>0e8ecca7</v>
      </c>
    </row>
    <row r="840" spans="1:8">
      <c r="A840" t="s">
        <v>1234</v>
      </c>
      <c r="B840" t="s">
        <v>527</v>
      </c>
      <c r="C840" s="5">
        <v>45937.926353576389</v>
      </c>
      <c r="D840">
        <v>7021</v>
      </c>
      <c r="E840" s="3" t="s">
        <v>812</v>
      </c>
      <c r="F840" s="12">
        <f t="shared" si="26"/>
        <v>45937.593020243054</v>
      </c>
      <c r="G840" s="10" t="str">
        <f t="shared" si="27"/>
        <v>14:15:00</v>
      </c>
      <c r="H840" s="14" t="str">
        <f>LEFT(SearchData[[#This Row],[userId]],8)</f>
        <v>0e8ecca7</v>
      </c>
    </row>
    <row r="841" spans="1:8">
      <c r="A841" t="s">
        <v>1235</v>
      </c>
      <c r="B841" t="s">
        <v>281</v>
      </c>
      <c r="C841" s="5">
        <v>45938.0865671875</v>
      </c>
      <c r="D841">
        <v>46</v>
      </c>
      <c r="E841" s="3" t="s">
        <v>1236</v>
      </c>
      <c r="F841" s="12">
        <f t="shared" si="26"/>
        <v>45937.753233854164</v>
      </c>
      <c r="G841" s="10" t="str">
        <f t="shared" si="27"/>
        <v>18:00:00</v>
      </c>
      <c r="H841" s="14" t="str">
        <f>LEFT(SearchData[[#This Row],[userId]],8)</f>
        <v>fc8596ff</v>
      </c>
    </row>
    <row r="842" spans="1:8">
      <c r="A842" t="s">
        <v>1237</v>
      </c>
      <c r="B842" t="s">
        <v>281</v>
      </c>
      <c r="C842" s="5">
        <v>45938.086685034723</v>
      </c>
      <c r="D842">
        <v>46</v>
      </c>
      <c r="E842" s="3" t="s">
        <v>15</v>
      </c>
      <c r="F842" s="12">
        <f t="shared" si="26"/>
        <v>45937.753351701387</v>
      </c>
      <c r="G842" s="10" t="str">
        <f t="shared" si="27"/>
        <v>18:00:00</v>
      </c>
      <c r="H842" s="14" t="str">
        <f>LEFT(SearchData[[#This Row],[userId]],8)</f>
        <v>fc8596ff</v>
      </c>
    </row>
    <row r="843" spans="1:8">
      <c r="A843" t="s">
        <v>1238</v>
      </c>
      <c r="B843" t="s">
        <v>391</v>
      </c>
      <c r="C843" s="5">
        <v>45938.212606284724</v>
      </c>
      <c r="D843">
        <v>92003</v>
      </c>
      <c r="E843" s="3" t="s">
        <v>20</v>
      </c>
      <c r="F843" s="12">
        <f t="shared" si="26"/>
        <v>45937.879272951388</v>
      </c>
      <c r="G843" s="10" t="str">
        <f t="shared" si="27"/>
        <v>21:00:00</v>
      </c>
      <c r="H843" s="14" t="str">
        <f>LEFT(SearchData[[#This Row],[userId]],8)</f>
        <v>162b0343</v>
      </c>
    </row>
    <row r="844" spans="1:8">
      <c r="A844" t="s">
        <v>1239</v>
      </c>
      <c r="B844" t="s">
        <v>137</v>
      </c>
      <c r="C844" s="5">
        <v>45938.721704814816</v>
      </c>
      <c r="D844">
        <v>7027</v>
      </c>
      <c r="E844" s="3" t="s">
        <v>14</v>
      </c>
      <c r="F844" s="12">
        <f t="shared" si="26"/>
        <v>45938.38837148148</v>
      </c>
      <c r="G844" s="10" t="str">
        <f t="shared" si="27"/>
        <v>09:15:00</v>
      </c>
      <c r="H844" s="14" t="str">
        <f>LEFT(SearchData[[#This Row],[userId]],8)</f>
        <v>fb7d1ae3</v>
      </c>
    </row>
    <row r="845" spans="1:8">
      <c r="A845" t="s">
        <v>1240</v>
      </c>
      <c r="B845" t="s">
        <v>137</v>
      </c>
      <c r="C845" s="5">
        <v>45938.855812361115</v>
      </c>
      <c r="D845">
        <v>7028</v>
      </c>
      <c r="E845" s="3" t="s">
        <v>15</v>
      </c>
      <c r="F845" s="12">
        <f t="shared" si="26"/>
        <v>45938.522479027779</v>
      </c>
      <c r="G845" s="10" t="str">
        <f t="shared" si="27"/>
        <v>12:30:00</v>
      </c>
      <c r="H845" s="14" t="str">
        <f>LEFT(SearchData[[#This Row],[userId]],8)</f>
        <v>fb7d1ae3</v>
      </c>
    </row>
    <row r="846" spans="1:8">
      <c r="A846" t="s">
        <v>1241</v>
      </c>
      <c r="B846" t="s">
        <v>137</v>
      </c>
      <c r="C846" s="5">
        <v>45938.925347789351</v>
      </c>
      <c r="D846">
        <v>7030</v>
      </c>
      <c r="E846" s="3" t="s">
        <v>1242</v>
      </c>
      <c r="F846" s="12">
        <f t="shared" si="26"/>
        <v>45938.592014456015</v>
      </c>
      <c r="G846" s="10" t="str">
        <f t="shared" si="27"/>
        <v>14:15:00</v>
      </c>
      <c r="H846" s="14" t="str">
        <f>LEFT(SearchData[[#This Row],[userId]],8)</f>
        <v>fb7d1ae3</v>
      </c>
    </row>
    <row r="847" spans="1:8">
      <c r="A847" t="s">
        <v>1243</v>
      </c>
      <c r="B847" t="s">
        <v>443</v>
      </c>
      <c r="C847" s="5">
        <v>45939.858156793984</v>
      </c>
      <c r="D847">
        <v>112</v>
      </c>
      <c r="E847" s="3" t="s">
        <v>14</v>
      </c>
      <c r="F847" s="12">
        <f t="shared" si="26"/>
        <v>45939.524823460648</v>
      </c>
      <c r="G847" s="10" t="str">
        <f t="shared" si="27"/>
        <v>12:30:00</v>
      </c>
      <c r="H847" s="14" t="str">
        <f>LEFT(SearchData[[#This Row],[userId]],8)</f>
        <v>65e0d73f</v>
      </c>
    </row>
    <row r="848" spans="1:8">
      <c r="A848" t="s">
        <v>1244</v>
      </c>
      <c r="B848" t="s">
        <v>137</v>
      </c>
      <c r="C848" s="5">
        <v>45939.907215636573</v>
      </c>
      <c r="D848">
        <v>7036</v>
      </c>
      <c r="E848" s="3" t="s">
        <v>1245</v>
      </c>
      <c r="F848" s="12">
        <f t="shared" si="26"/>
        <v>45939.573882303237</v>
      </c>
      <c r="G848" s="10" t="str">
        <f t="shared" si="27"/>
        <v>13:45:00</v>
      </c>
      <c r="H848" s="14" t="str">
        <f>LEFT(SearchData[[#This Row],[userId]],8)</f>
        <v>fb7d1ae3</v>
      </c>
    </row>
    <row r="849" spans="1:8">
      <c r="A849" t="s">
        <v>1246</v>
      </c>
      <c r="B849" t="s">
        <v>656</v>
      </c>
      <c r="C849" s="5">
        <v>45939.926184027776</v>
      </c>
      <c r="D849">
        <v>46</v>
      </c>
      <c r="E849" s="3" t="s">
        <v>1247</v>
      </c>
      <c r="F849" s="12">
        <f t="shared" si="26"/>
        <v>45939.59285069444</v>
      </c>
      <c r="G849" s="10" t="str">
        <f t="shared" si="27"/>
        <v>14:15:00</v>
      </c>
      <c r="H849" s="14" t="str">
        <f>LEFT(SearchData[[#This Row],[userId]],8)</f>
        <v>2d4eebd6</v>
      </c>
    </row>
    <row r="850" spans="1:8">
      <c r="A850" t="s">
        <v>1248</v>
      </c>
      <c r="B850" t="s">
        <v>470</v>
      </c>
      <c r="C850" s="5">
        <v>45940.779207094907</v>
      </c>
      <c r="D850">
        <v>6974</v>
      </c>
      <c r="E850" s="3" t="s">
        <v>21</v>
      </c>
      <c r="F850" s="12">
        <f t="shared" si="26"/>
        <v>45940.445873761571</v>
      </c>
      <c r="G850" s="10" t="str">
        <f t="shared" si="27"/>
        <v>10:45:00</v>
      </c>
      <c r="H850" s="14" t="str">
        <f>LEFT(SearchData[[#This Row],[userId]],8)</f>
        <v>8eca698f</v>
      </c>
    </row>
    <row r="851" spans="1:8">
      <c r="A851" t="s">
        <v>1249</v>
      </c>
      <c r="B851" t="s">
        <v>470</v>
      </c>
      <c r="C851" s="5">
        <v>45940.86758997685</v>
      </c>
      <c r="D851">
        <v>6974</v>
      </c>
      <c r="E851" s="3" t="s">
        <v>403</v>
      </c>
      <c r="F851" s="12">
        <f t="shared" si="26"/>
        <v>45940.534256643514</v>
      </c>
      <c r="G851" s="10" t="str">
        <f t="shared" si="27"/>
        <v>12:45:00</v>
      </c>
      <c r="H851" s="14" t="str">
        <f>LEFT(SearchData[[#This Row],[userId]],8)</f>
        <v>8eca698f</v>
      </c>
    </row>
    <row r="852" spans="1:8">
      <c r="A852" t="s">
        <v>1250</v>
      </c>
      <c r="B852" t="s">
        <v>137</v>
      </c>
      <c r="C852" s="5">
        <v>45940.901626631945</v>
      </c>
      <c r="D852">
        <v>6981</v>
      </c>
      <c r="E852" s="3" t="s">
        <v>129</v>
      </c>
      <c r="F852" s="12">
        <f t="shared" si="26"/>
        <v>45940.568293298609</v>
      </c>
      <c r="G852" s="10" t="str">
        <f t="shared" si="27"/>
        <v>13:45:00</v>
      </c>
      <c r="H852" s="14" t="str">
        <f>LEFT(SearchData[[#This Row],[userId]],8)</f>
        <v>fb7d1ae3</v>
      </c>
    </row>
    <row r="853" spans="1:8">
      <c r="A853" t="s">
        <v>1251</v>
      </c>
      <c r="B853" t="s">
        <v>470</v>
      </c>
      <c r="C853" s="5">
        <v>45941.007593703704</v>
      </c>
      <c r="D853">
        <v>6981</v>
      </c>
      <c r="E853" s="3" t="s">
        <v>21</v>
      </c>
      <c r="F853" s="12">
        <f t="shared" si="26"/>
        <v>45940.674260370368</v>
      </c>
      <c r="G853" s="10" t="str">
        <f t="shared" si="27"/>
        <v>16:15:00</v>
      </c>
      <c r="H853" s="14" t="str">
        <f>LEFT(SearchData[[#This Row],[userId]],8)</f>
        <v>8eca698f</v>
      </c>
    </row>
    <row r="854" spans="1:8">
      <c r="A854" t="s">
        <v>1252</v>
      </c>
      <c r="B854" t="s">
        <v>289</v>
      </c>
      <c r="C854" s="5">
        <v>45941.47111849537</v>
      </c>
      <c r="D854">
        <v>6981</v>
      </c>
      <c r="E854" s="3" t="s">
        <v>451</v>
      </c>
      <c r="F854" s="12">
        <f t="shared" si="26"/>
        <v>45941.137785162035</v>
      </c>
      <c r="G854" s="10" t="str">
        <f t="shared" si="27"/>
        <v>03:15:00</v>
      </c>
      <c r="H854" s="14" t="str">
        <f>LEFT(SearchData[[#This Row],[userId]],8)</f>
        <v>5db0b69a</v>
      </c>
    </row>
    <row r="855" spans="1:8">
      <c r="A855" t="s">
        <v>1253</v>
      </c>
      <c r="B855" t="s">
        <v>289</v>
      </c>
      <c r="C855" s="5">
        <v>45941.555628333335</v>
      </c>
      <c r="D855">
        <v>6981</v>
      </c>
      <c r="E855" s="3" t="s">
        <v>451</v>
      </c>
      <c r="F855" s="12">
        <f t="shared" si="26"/>
        <v>45941.222295</v>
      </c>
      <c r="G855" s="10" t="str">
        <f t="shared" si="27"/>
        <v>05:15:00</v>
      </c>
      <c r="H855" s="14" t="str">
        <f>LEFT(SearchData[[#This Row],[userId]],8)</f>
        <v>5db0b69a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B95B-2AAD-49DB-8B82-10D81322533E}">
  <dimension ref="A2:B44"/>
  <sheetViews>
    <sheetView workbookViewId="0"/>
  </sheetViews>
  <sheetFormatPr defaultRowHeight="15"/>
  <cols>
    <col min="1" max="1" width="11.28515625" bestFit="1" customWidth="1"/>
    <col min="2" max="2" width="13.28515625" bestFit="1" customWidth="1"/>
    <col min="3" max="3" width="15.5703125" bestFit="1" customWidth="1"/>
    <col min="6" max="6" width="36.42578125" bestFit="1" customWidth="1"/>
    <col min="7" max="7" width="38" bestFit="1" customWidth="1"/>
    <col min="8" max="9" width="36.5703125" bestFit="1" customWidth="1"/>
    <col min="10" max="10" width="36.7109375" bestFit="1" customWidth="1"/>
    <col min="11" max="11" width="37.42578125" bestFit="1" customWidth="1"/>
    <col min="12" max="12" width="37.5703125" bestFit="1" customWidth="1"/>
    <col min="13" max="13" width="36.7109375" bestFit="1" customWidth="1"/>
    <col min="14" max="14" width="36.85546875" bestFit="1" customWidth="1"/>
    <col min="15" max="15" width="37" bestFit="1" customWidth="1"/>
    <col min="16" max="16" width="36.140625" bestFit="1" customWidth="1"/>
    <col min="17" max="17" width="36.85546875" bestFit="1" customWidth="1"/>
    <col min="18" max="18" width="36.5703125" bestFit="1" customWidth="1"/>
    <col min="19" max="19" width="38.28515625" bestFit="1" customWidth="1"/>
    <col min="20" max="20" width="38.140625" bestFit="1" customWidth="1"/>
    <col min="21" max="21" width="36.7109375" bestFit="1" customWidth="1"/>
    <col min="22" max="22" width="36.42578125" bestFit="1" customWidth="1"/>
    <col min="23" max="23" width="37.5703125" bestFit="1" customWidth="1"/>
    <col min="24" max="24" width="36.85546875" bestFit="1" customWidth="1"/>
    <col min="25" max="25" width="37" bestFit="1" customWidth="1"/>
    <col min="26" max="26" width="37.140625" bestFit="1" customWidth="1"/>
    <col min="27" max="27" width="38.28515625" bestFit="1" customWidth="1"/>
    <col min="28" max="28" width="36.5703125" bestFit="1" customWidth="1"/>
    <col min="29" max="29" width="36.85546875" bestFit="1" customWidth="1"/>
    <col min="30" max="30" width="36.5703125" bestFit="1" customWidth="1"/>
    <col min="31" max="31" width="37.28515625" bestFit="1" customWidth="1"/>
    <col min="32" max="32" width="36.7109375" bestFit="1" customWidth="1"/>
    <col min="33" max="33" width="37.42578125" bestFit="1" customWidth="1"/>
    <col min="34" max="34" width="38.28515625" bestFit="1" customWidth="1"/>
    <col min="35" max="35" width="37.5703125" bestFit="1" customWidth="1"/>
    <col min="36" max="36" width="36.42578125" bestFit="1" customWidth="1"/>
    <col min="37" max="37" width="36.5703125" bestFit="1" customWidth="1"/>
    <col min="38" max="38" width="37.5703125" bestFit="1" customWidth="1"/>
    <col min="39" max="39" width="37.42578125" bestFit="1" customWidth="1"/>
    <col min="40" max="40" width="36.28515625" bestFit="1" customWidth="1"/>
    <col min="41" max="41" width="37.42578125" bestFit="1" customWidth="1"/>
    <col min="42" max="42" width="36.7109375" bestFit="1" customWidth="1"/>
    <col min="43" max="43" width="35.7109375" bestFit="1" customWidth="1"/>
    <col min="44" max="44" width="36.7109375" bestFit="1" customWidth="1"/>
    <col min="45" max="45" width="37" bestFit="1" customWidth="1"/>
    <col min="46" max="47" width="36.85546875" bestFit="1" customWidth="1"/>
    <col min="48" max="48" width="36.28515625" bestFit="1" customWidth="1"/>
    <col min="49" max="49" width="37.5703125" bestFit="1" customWidth="1"/>
    <col min="50" max="50" width="36.5703125" bestFit="1" customWidth="1"/>
    <col min="51" max="51" width="37.7109375" bestFit="1" customWidth="1"/>
    <col min="52" max="52" width="36.85546875" bestFit="1" customWidth="1"/>
    <col min="53" max="53" width="37.140625" bestFit="1" customWidth="1"/>
    <col min="54" max="54" width="36.42578125" bestFit="1" customWidth="1"/>
    <col min="55" max="55" width="37.7109375" bestFit="1" customWidth="1"/>
    <col min="56" max="56" width="36.140625" bestFit="1" customWidth="1"/>
    <col min="57" max="57" width="37" bestFit="1" customWidth="1"/>
    <col min="58" max="58" width="36.5703125" bestFit="1" customWidth="1"/>
    <col min="59" max="59" width="36.7109375" bestFit="1" customWidth="1"/>
    <col min="60" max="60" width="37" bestFit="1" customWidth="1"/>
    <col min="61" max="61" width="36.42578125" bestFit="1" customWidth="1"/>
    <col min="62" max="62" width="37.7109375" bestFit="1" customWidth="1"/>
    <col min="63" max="63" width="37.5703125" bestFit="1" customWidth="1"/>
    <col min="64" max="64" width="37.42578125" bestFit="1" customWidth="1"/>
    <col min="65" max="66" width="37.140625" bestFit="1" customWidth="1"/>
    <col min="67" max="67" width="37.28515625" bestFit="1" customWidth="1"/>
    <col min="68" max="68" width="37.42578125" bestFit="1" customWidth="1"/>
    <col min="69" max="69" width="37.28515625" bestFit="1" customWidth="1"/>
    <col min="70" max="70" width="36.28515625" bestFit="1" customWidth="1"/>
    <col min="71" max="71" width="36" bestFit="1" customWidth="1"/>
    <col min="72" max="72" width="36.7109375" bestFit="1" customWidth="1"/>
    <col min="73" max="73" width="37" bestFit="1" customWidth="1"/>
    <col min="74" max="74" width="37.7109375" bestFit="1" customWidth="1"/>
    <col min="75" max="77" width="38" bestFit="1" customWidth="1"/>
    <col min="78" max="80" width="36.42578125" bestFit="1" customWidth="1"/>
    <col min="81" max="81" width="37.7109375" bestFit="1" customWidth="1"/>
    <col min="82" max="82" width="36.85546875" bestFit="1" customWidth="1"/>
    <col min="83" max="83" width="35.28515625" bestFit="1" customWidth="1"/>
    <col min="84" max="84" width="36.85546875" bestFit="1" customWidth="1"/>
    <col min="85" max="85" width="37.5703125" bestFit="1" customWidth="1"/>
    <col min="86" max="86" width="38.140625" bestFit="1" customWidth="1"/>
    <col min="87" max="87" width="37" bestFit="1" customWidth="1"/>
    <col min="88" max="88" width="37.28515625" bestFit="1" customWidth="1"/>
    <col min="89" max="89" width="36.7109375" bestFit="1" customWidth="1"/>
    <col min="90" max="91" width="37" bestFit="1" customWidth="1"/>
    <col min="92" max="92" width="36.5703125" bestFit="1" customWidth="1"/>
    <col min="93" max="93" width="37" bestFit="1" customWidth="1"/>
    <col min="94" max="94" width="36.7109375" bestFit="1" customWidth="1"/>
    <col min="95" max="95" width="36.5703125" bestFit="1" customWidth="1"/>
    <col min="96" max="96" width="37.140625" bestFit="1" customWidth="1"/>
    <col min="97" max="97" width="37.5703125" bestFit="1" customWidth="1"/>
    <col min="98" max="99" width="37" bestFit="1" customWidth="1"/>
    <col min="100" max="100" width="36.7109375" bestFit="1" customWidth="1"/>
    <col min="101" max="101" width="37.28515625" bestFit="1" customWidth="1"/>
    <col min="102" max="102" width="37" bestFit="1" customWidth="1"/>
    <col min="103" max="103" width="37.28515625" bestFit="1" customWidth="1"/>
    <col min="104" max="104" width="37.7109375" bestFit="1" customWidth="1"/>
    <col min="105" max="105" width="36.7109375" bestFit="1" customWidth="1"/>
    <col min="106" max="106" width="37.42578125" bestFit="1" customWidth="1"/>
    <col min="107" max="107" width="36.85546875" bestFit="1" customWidth="1"/>
    <col min="108" max="108" width="36.7109375" bestFit="1" customWidth="1"/>
    <col min="109" max="109" width="37.42578125" bestFit="1" customWidth="1"/>
    <col min="110" max="110" width="36.85546875" bestFit="1" customWidth="1"/>
    <col min="111" max="111" width="37.7109375" bestFit="1" customWidth="1"/>
    <col min="112" max="112" width="37.140625" bestFit="1" customWidth="1"/>
    <col min="113" max="113" width="37.7109375" bestFit="1" customWidth="1"/>
    <col min="114" max="114" width="37.140625" bestFit="1" customWidth="1"/>
    <col min="115" max="115" width="37.42578125" bestFit="1" customWidth="1"/>
    <col min="116" max="116" width="37.5703125" bestFit="1" customWidth="1"/>
    <col min="117" max="117" width="36.140625" bestFit="1" customWidth="1"/>
    <col min="118" max="118" width="36.85546875" bestFit="1" customWidth="1"/>
    <col min="119" max="119" width="37.140625" bestFit="1" customWidth="1"/>
    <col min="120" max="120" width="36.42578125" bestFit="1" customWidth="1"/>
    <col min="121" max="121" width="36.28515625" bestFit="1" customWidth="1"/>
    <col min="122" max="122" width="38" bestFit="1" customWidth="1"/>
    <col min="123" max="123" width="37.140625" bestFit="1" customWidth="1"/>
    <col min="124" max="124" width="36.7109375" bestFit="1" customWidth="1"/>
    <col min="125" max="125" width="36.85546875" bestFit="1" customWidth="1"/>
    <col min="126" max="126" width="37.140625" bestFit="1" customWidth="1"/>
    <col min="127" max="127" width="38.140625" bestFit="1" customWidth="1"/>
    <col min="128" max="128" width="37.28515625" bestFit="1" customWidth="1"/>
    <col min="129" max="129" width="37.140625" bestFit="1" customWidth="1"/>
    <col min="130" max="130" width="37.42578125" bestFit="1" customWidth="1"/>
    <col min="131" max="131" width="37.28515625" bestFit="1" customWidth="1"/>
    <col min="132" max="132" width="36" bestFit="1" customWidth="1"/>
    <col min="133" max="133" width="36.5703125" bestFit="1" customWidth="1"/>
    <col min="134" max="134" width="37.42578125" bestFit="1" customWidth="1"/>
    <col min="135" max="135" width="36.85546875" bestFit="1" customWidth="1"/>
    <col min="136" max="137" width="37.5703125" bestFit="1" customWidth="1"/>
    <col min="138" max="138" width="36" bestFit="1" customWidth="1"/>
    <col min="139" max="139" width="36.85546875" bestFit="1" customWidth="1"/>
    <col min="140" max="140" width="37.140625" bestFit="1" customWidth="1"/>
    <col min="141" max="141" width="36.42578125" bestFit="1" customWidth="1"/>
    <col min="142" max="142" width="37.140625" bestFit="1" customWidth="1"/>
    <col min="143" max="143" width="37" bestFit="1" customWidth="1"/>
    <col min="144" max="145" width="36.42578125" bestFit="1" customWidth="1"/>
    <col min="146" max="146" width="36.5703125" bestFit="1" customWidth="1"/>
    <col min="147" max="147" width="37.140625" bestFit="1" customWidth="1"/>
    <col min="148" max="148" width="37.42578125" bestFit="1" customWidth="1"/>
    <col min="149" max="149" width="37.5703125" bestFit="1" customWidth="1"/>
    <col min="150" max="150" width="37.28515625" bestFit="1" customWidth="1"/>
    <col min="151" max="151" width="36.42578125" bestFit="1" customWidth="1"/>
    <col min="152" max="152" width="36.28515625" bestFit="1" customWidth="1"/>
    <col min="153" max="153" width="37.140625" bestFit="1" customWidth="1"/>
    <col min="154" max="154" width="37" bestFit="1" customWidth="1"/>
    <col min="155" max="155" width="36.140625" bestFit="1" customWidth="1"/>
    <col min="156" max="156" width="37.28515625" bestFit="1" customWidth="1"/>
    <col min="157" max="157" width="36.7109375" bestFit="1" customWidth="1"/>
    <col min="158" max="158" width="38" bestFit="1" customWidth="1"/>
    <col min="159" max="159" width="37.7109375" bestFit="1" customWidth="1"/>
    <col min="160" max="160" width="36.85546875" bestFit="1" customWidth="1"/>
    <col min="161" max="161" width="37.140625" bestFit="1" customWidth="1"/>
    <col min="162" max="163" width="37.28515625" bestFit="1" customWidth="1"/>
    <col min="164" max="164" width="35.85546875" bestFit="1" customWidth="1"/>
    <col min="165" max="165" width="36.5703125" bestFit="1" customWidth="1"/>
    <col min="166" max="166" width="37" bestFit="1" customWidth="1"/>
    <col min="167" max="167" width="36" bestFit="1" customWidth="1"/>
    <col min="168" max="168" width="36.7109375" bestFit="1" customWidth="1"/>
    <col min="169" max="169" width="36" bestFit="1" customWidth="1"/>
    <col min="170" max="170" width="37.28515625" bestFit="1" customWidth="1"/>
    <col min="171" max="171" width="37.42578125" bestFit="1" customWidth="1"/>
    <col min="172" max="172" width="36.5703125" bestFit="1" customWidth="1"/>
    <col min="173" max="173" width="36.85546875" bestFit="1" customWidth="1"/>
    <col min="174" max="174" width="37.28515625" bestFit="1" customWidth="1"/>
    <col min="175" max="175" width="38.140625" bestFit="1" customWidth="1"/>
    <col min="176" max="176" width="36.140625" bestFit="1" customWidth="1"/>
    <col min="177" max="178" width="36.7109375" bestFit="1" customWidth="1"/>
    <col min="179" max="179" width="37.42578125" bestFit="1" customWidth="1"/>
    <col min="180" max="180" width="35.42578125" bestFit="1" customWidth="1"/>
    <col min="181" max="181" width="36.5703125" bestFit="1" customWidth="1"/>
    <col min="182" max="182" width="35.85546875" bestFit="1" customWidth="1"/>
    <col min="183" max="184" width="37.42578125" bestFit="1" customWidth="1"/>
    <col min="185" max="185" width="37.28515625" bestFit="1" customWidth="1"/>
    <col min="186" max="186" width="36.85546875" bestFit="1" customWidth="1"/>
    <col min="187" max="187" width="37.7109375" bestFit="1" customWidth="1"/>
    <col min="188" max="188" width="37.5703125" bestFit="1" customWidth="1"/>
    <col min="189" max="189" width="37.42578125" bestFit="1" customWidth="1"/>
    <col min="190" max="190" width="37.140625" bestFit="1" customWidth="1"/>
    <col min="191" max="191" width="36.140625" bestFit="1" customWidth="1"/>
    <col min="192" max="192" width="37.28515625" bestFit="1" customWidth="1"/>
    <col min="193" max="194" width="37" bestFit="1" customWidth="1"/>
    <col min="195" max="195" width="37.140625" bestFit="1" customWidth="1"/>
    <col min="196" max="196" width="37.42578125" bestFit="1" customWidth="1"/>
    <col min="197" max="197" width="36.85546875" bestFit="1" customWidth="1"/>
    <col min="198" max="198" width="37.28515625" bestFit="1" customWidth="1"/>
    <col min="199" max="199" width="36.5703125" bestFit="1" customWidth="1"/>
    <col min="200" max="200" width="36.42578125" bestFit="1" customWidth="1"/>
    <col min="201" max="201" width="36.7109375" bestFit="1" customWidth="1"/>
    <col min="202" max="203" width="37.140625" bestFit="1" customWidth="1"/>
    <col min="204" max="204" width="36.5703125" bestFit="1" customWidth="1"/>
    <col min="205" max="205" width="37.28515625" bestFit="1" customWidth="1"/>
    <col min="206" max="206" width="36.42578125" bestFit="1" customWidth="1"/>
    <col min="207" max="207" width="35.85546875" bestFit="1" customWidth="1"/>
    <col min="208" max="208" width="37.140625" bestFit="1" customWidth="1"/>
    <col min="209" max="209" width="37.42578125" bestFit="1" customWidth="1"/>
    <col min="210" max="210" width="37.7109375" bestFit="1" customWidth="1"/>
    <col min="211" max="211" width="37.42578125" bestFit="1" customWidth="1"/>
    <col min="212" max="212" width="37.140625" bestFit="1" customWidth="1"/>
    <col min="213" max="213" width="38" bestFit="1" customWidth="1"/>
    <col min="214" max="214" width="36.7109375" bestFit="1" customWidth="1"/>
    <col min="215" max="215" width="36.42578125" bestFit="1" customWidth="1"/>
    <col min="216" max="216" width="37.7109375" bestFit="1" customWidth="1"/>
    <col min="217" max="217" width="36.5703125" bestFit="1" customWidth="1"/>
    <col min="218" max="218" width="36.42578125" bestFit="1" customWidth="1"/>
    <col min="219" max="219" width="36.140625" bestFit="1" customWidth="1"/>
    <col min="220" max="221" width="36.7109375" bestFit="1" customWidth="1"/>
    <col min="222" max="222" width="36.5703125" bestFit="1" customWidth="1"/>
    <col min="223" max="223" width="38.28515625" bestFit="1" customWidth="1"/>
    <col min="224" max="224" width="36.85546875" bestFit="1" customWidth="1"/>
    <col min="225" max="225" width="37.28515625" bestFit="1" customWidth="1"/>
    <col min="226" max="226" width="38.140625" bestFit="1" customWidth="1"/>
    <col min="227" max="227" width="37.7109375" bestFit="1" customWidth="1"/>
    <col min="228" max="229" width="36.85546875" bestFit="1" customWidth="1"/>
    <col min="230" max="230" width="38" bestFit="1" customWidth="1"/>
    <col min="231" max="232" width="37.140625" bestFit="1" customWidth="1"/>
    <col min="233" max="233" width="37.42578125" bestFit="1" customWidth="1"/>
    <col min="234" max="234" width="37.140625" bestFit="1" customWidth="1"/>
    <col min="235" max="235" width="36.7109375" bestFit="1" customWidth="1"/>
    <col min="236" max="236" width="37.42578125" bestFit="1" customWidth="1"/>
    <col min="237" max="237" width="36.5703125" bestFit="1" customWidth="1"/>
    <col min="238" max="238" width="36.7109375" bestFit="1" customWidth="1"/>
    <col min="239" max="239" width="36.28515625" bestFit="1" customWidth="1"/>
    <col min="240" max="241" width="36.42578125" bestFit="1" customWidth="1"/>
    <col min="242" max="242" width="37" bestFit="1" customWidth="1"/>
    <col min="243" max="244" width="37.42578125" bestFit="1" customWidth="1"/>
    <col min="245" max="245" width="36.42578125" bestFit="1" customWidth="1"/>
    <col min="246" max="246" width="36.7109375" bestFit="1" customWidth="1"/>
    <col min="247" max="247" width="37.42578125" bestFit="1" customWidth="1"/>
    <col min="248" max="248" width="37.140625" bestFit="1" customWidth="1"/>
    <col min="249" max="249" width="37" bestFit="1" customWidth="1"/>
    <col min="250" max="250" width="35.7109375" bestFit="1" customWidth="1"/>
    <col min="251" max="251" width="37.42578125" bestFit="1" customWidth="1"/>
    <col min="252" max="254" width="37.5703125" bestFit="1" customWidth="1"/>
    <col min="255" max="255" width="37.42578125" bestFit="1" customWidth="1"/>
    <col min="256" max="256" width="37.140625" bestFit="1" customWidth="1"/>
    <col min="257" max="257" width="37.42578125" bestFit="1" customWidth="1"/>
    <col min="258" max="258" width="38.28515625" bestFit="1" customWidth="1"/>
    <col min="259" max="259" width="37" bestFit="1" customWidth="1"/>
    <col min="260" max="260" width="37.42578125" bestFit="1" customWidth="1"/>
    <col min="261" max="261" width="37.140625" bestFit="1" customWidth="1"/>
    <col min="262" max="262" width="36.140625" bestFit="1" customWidth="1"/>
    <col min="263" max="263" width="37" bestFit="1" customWidth="1"/>
    <col min="264" max="264" width="37.140625" bestFit="1" customWidth="1"/>
    <col min="265" max="265" width="37.28515625" bestFit="1" customWidth="1"/>
    <col min="266" max="266" width="36.7109375" bestFit="1" customWidth="1"/>
    <col min="267" max="267" width="35.85546875" bestFit="1" customWidth="1"/>
    <col min="268" max="268" width="37.28515625" bestFit="1" customWidth="1"/>
    <col min="269" max="269" width="37.42578125" bestFit="1" customWidth="1"/>
    <col min="270" max="270" width="36.7109375" bestFit="1" customWidth="1"/>
    <col min="271" max="271" width="37.5703125" bestFit="1" customWidth="1"/>
    <col min="272" max="272" width="37.42578125" bestFit="1" customWidth="1"/>
    <col min="273" max="273" width="37" bestFit="1" customWidth="1"/>
    <col min="274" max="274" width="37.7109375" bestFit="1" customWidth="1"/>
    <col min="275" max="275" width="36.5703125" bestFit="1" customWidth="1"/>
    <col min="276" max="277" width="36.7109375" bestFit="1" customWidth="1"/>
    <col min="278" max="278" width="37.5703125" bestFit="1" customWidth="1"/>
    <col min="279" max="279" width="36.85546875" bestFit="1" customWidth="1"/>
    <col min="280" max="280" width="36.28515625" bestFit="1" customWidth="1"/>
    <col min="281" max="281" width="37" bestFit="1" customWidth="1"/>
    <col min="282" max="282" width="37.140625" bestFit="1" customWidth="1"/>
    <col min="283" max="283" width="37.42578125" bestFit="1" customWidth="1"/>
    <col min="284" max="284" width="37.140625" bestFit="1" customWidth="1"/>
    <col min="285" max="285" width="37.28515625" bestFit="1" customWidth="1"/>
    <col min="286" max="286" width="37.140625" bestFit="1" customWidth="1"/>
    <col min="287" max="287" width="36.140625" bestFit="1" customWidth="1"/>
    <col min="288" max="288" width="37.42578125" bestFit="1" customWidth="1"/>
    <col min="289" max="289" width="37.140625" bestFit="1" customWidth="1"/>
    <col min="290" max="290" width="36.7109375" bestFit="1" customWidth="1"/>
    <col min="291" max="291" width="36.5703125" bestFit="1" customWidth="1"/>
    <col min="292" max="292" width="37.28515625" bestFit="1" customWidth="1"/>
    <col min="293" max="293" width="37.140625" bestFit="1" customWidth="1"/>
    <col min="294" max="294" width="36.7109375" bestFit="1" customWidth="1"/>
    <col min="295" max="295" width="36.42578125" bestFit="1" customWidth="1"/>
    <col min="296" max="296" width="37.42578125" bestFit="1" customWidth="1"/>
    <col min="297" max="297" width="36.42578125" bestFit="1" customWidth="1"/>
    <col min="298" max="298" width="37.140625" bestFit="1" customWidth="1"/>
    <col min="299" max="299" width="36.42578125" bestFit="1" customWidth="1"/>
    <col min="300" max="301" width="37.7109375" bestFit="1" customWidth="1"/>
    <col min="302" max="302" width="36.85546875" bestFit="1" customWidth="1"/>
    <col min="303" max="303" width="37.28515625" bestFit="1" customWidth="1"/>
    <col min="304" max="304" width="37.140625" bestFit="1" customWidth="1"/>
    <col min="305" max="305" width="36.7109375" bestFit="1" customWidth="1"/>
    <col min="306" max="306" width="36.85546875" bestFit="1" customWidth="1"/>
    <col min="307" max="307" width="37.42578125" bestFit="1" customWidth="1"/>
    <col min="308" max="308" width="36.5703125" bestFit="1" customWidth="1"/>
    <col min="309" max="309" width="38" bestFit="1" customWidth="1"/>
    <col min="310" max="310" width="37.140625" bestFit="1" customWidth="1"/>
    <col min="311" max="311" width="37.42578125" bestFit="1" customWidth="1"/>
    <col min="312" max="312" width="38" bestFit="1" customWidth="1"/>
    <col min="313" max="313" width="37" bestFit="1" customWidth="1"/>
    <col min="314" max="314" width="36.85546875" bestFit="1" customWidth="1"/>
    <col min="315" max="315" width="37.28515625" bestFit="1" customWidth="1"/>
    <col min="316" max="316" width="37.42578125" bestFit="1" customWidth="1"/>
    <col min="317" max="317" width="37.7109375" bestFit="1" customWidth="1"/>
    <col min="318" max="319" width="37" bestFit="1" customWidth="1"/>
    <col min="320" max="320" width="36.85546875" bestFit="1" customWidth="1"/>
    <col min="321" max="321" width="36" bestFit="1" customWidth="1"/>
    <col min="322" max="322" width="36.7109375" bestFit="1" customWidth="1"/>
    <col min="323" max="323" width="37.140625" bestFit="1" customWidth="1"/>
    <col min="324" max="324" width="37.28515625" bestFit="1" customWidth="1"/>
    <col min="325" max="325" width="36.42578125" bestFit="1" customWidth="1"/>
    <col min="326" max="326" width="37.140625" bestFit="1" customWidth="1"/>
    <col min="327" max="327" width="36.7109375" bestFit="1" customWidth="1"/>
    <col min="328" max="328" width="37" bestFit="1" customWidth="1"/>
    <col min="329" max="329" width="37.140625" bestFit="1" customWidth="1"/>
    <col min="330" max="330" width="37.42578125" bestFit="1" customWidth="1"/>
    <col min="331" max="331" width="37" bestFit="1" customWidth="1"/>
    <col min="332" max="332" width="38" bestFit="1" customWidth="1"/>
    <col min="333" max="333" width="37.140625" bestFit="1" customWidth="1"/>
    <col min="334" max="334" width="37.5703125" bestFit="1" customWidth="1"/>
    <col min="335" max="335" width="37" bestFit="1" customWidth="1"/>
    <col min="336" max="336" width="37.42578125" bestFit="1" customWidth="1"/>
    <col min="337" max="337" width="37.28515625" bestFit="1" customWidth="1"/>
    <col min="338" max="338" width="36.7109375" bestFit="1" customWidth="1"/>
    <col min="339" max="339" width="38" bestFit="1" customWidth="1"/>
    <col min="340" max="340" width="36.5703125" bestFit="1" customWidth="1"/>
    <col min="341" max="341" width="37.7109375" bestFit="1" customWidth="1"/>
    <col min="342" max="342" width="38" bestFit="1" customWidth="1"/>
    <col min="343" max="343" width="37.7109375" bestFit="1" customWidth="1"/>
    <col min="344" max="344" width="37.42578125" bestFit="1" customWidth="1"/>
    <col min="345" max="345" width="36.5703125" bestFit="1" customWidth="1"/>
    <col min="346" max="346" width="37.140625" bestFit="1" customWidth="1"/>
    <col min="347" max="347" width="36" bestFit="1" customWidth="1"/>
    <col min="348" max="348" width="36.5703125" bestFit="1" customWidth="1"/>
    <col min="349" max="349" width="37.42578125" bestFit="1" customWidth="1"/>
    <col min="350" max="350" width="36.7109375" bestFit="1" customWidth="1"/>
    <col min="351" max="351" width="36.5703125" bestFit="1" customWidth="1"/>
    <col min="352" max="352" width="36.140625" bestFit="1" customWidth="1"/>
    <col min="353" max="353" width="36.5703125" bestFit="1" customWidth="1"/>
    <col min="354" max="354" width="36.7109375" bestFit="1" customWidth="1"/>
    <col min="355" max="355" width="37.140625" bestFit="1" customWidth="1"/>
    <col min="356" max="356" width="38" bestFit="1" customWidth="1"/>
    <col min="357" max="357" width="37.42578125" bestFit="1" customWidth="1"/>
    <col min="358" max="358" width="36.42578125" bestFit="1" customWidth="1"/>
    <col min="359" max="359" width="37.140625" bestFit="1" customWidth="1"/>
    <col min="360" max="360" width="36.5703125" bestFit="1" customWidth="1"/>
    <col min="361" max="361" width="36.7109375" bestFit="1" customWidth="1"/>
    <col min="362" max="362" width="37" bestFit="1" customWidth="1"/>
    <col min="363" max="363" width="36.5703125" bestFit="1" customWidth="1"/>
    <col min="364" max="364" width="37.7109375" bestFit="1" customWidth="1"/>
    <col min="365" max="366" width="37" bestFit="1" customWidth="1"/>
    <col min="367" max="367" width="37.42578125" bestFit="1" customWidth="1"/>
    <col min="368" max="368" width="36.28515625" bestFit="1" customWidth="1"/>
    <col min="369" max="369" width="36.42578125" bestFit="1" customWidth="1"/>
    <col min="370" max="370" width="37.28515625" bestFit="1" customWidth="1"/>
    <col min="371" max="371" width="36.42578125" bestFit="1" customWidth="1"/>
    <col min="372" max="372" width="36.7109375" bestFit="1" customWidth="1"/>
    <col min="373" max="373" width="37.28515625" bestFit="1" customWidth="1"/>
    <col min="374" max="374" width="37" bestFit="1" customWidth="1"/>
    <col min="375" max="375" width="37.5703125" bestFit="1" customWidth="1"/>
    <col min="376" max="376" width="38.140625" bestFit="1" customWidth="1"/>
    <col min="377" max="377" width="36.85546875" bestFit="1" customWidth="1"/>
    <col min="378" max="378" width="37" bestFit="1" customWidth="1"/>
    <col min="379" max="379" width="36.5703125" bestFit="1" customWidth="1"/>
    <col min="380" max="380" width="37.28515625" bestFit="1" customWidth="1"/>
    <col min="381" max="381" width="37" bestFit="1" customWidth="1"/>
    <col min="382" max="382" width="36.42578125" bestFit="1" customWidth="1"/>
    <col min="383" max="384" width="36.85546875" bestFit="1" customWidth="1"/>
    <col min="385" max="385" width="37.28515625" bestFit="1" customWidth="1"/>
    <col min="386" max="386" width="37.5703125" bestFit="1" customWidth="1"/>
    <col min="387" max="387" width="36.5703125" bestFit="1" customWidth="1"/>
    <col min="388" max="388" width="37.28515625" bestFit="1" customWidth="1"/>
    <col min="389" max="389" width="37.5703125" bestFit="1" customWidth="1"/>
    <col min="390" max="390" width="36" bestFit="1" customWidth="1"/>
    <col min="391" max="391" width="36.42578125" bestFit="1" customWidth="1"/>
    <col min="392" max="393" width="36.28515625" bestFit="1" customWidth="1"/>
    <col min="394" max="394" width="37.140625" bestFit="1" customWidth="1"/>
    <col min="395" max="395" width="36.85546875" bestFit="1" customWidth="1"/>
    <col min="396" max="397" width="37.28515625" bestFit="1" customWidth="1"/>
    <col min="398" max="399" width="36.85546875" bestFit="1" customWidth="1"/>
    <col min="400" max="400" width="37.140625" bestFit="1" customWidth="1"/>
    <col min="401" max="401" width="36.7109375" bestFit="1" customWidth="1"/>
    <col min="402" max="402" width="37" bestFit="1" customWidth="1"/>
    <col min="403" max="403" width="37.7109375" bestFit="1" customWidth="1"/>
    <col min="404" max="404" width="36.85546875" bestFit="1" customWidth="1"/>
    <col min="405" max="405" width="37.28515625" bestFit="1" customWidth="1"/>
    <col min="406" max="406" width="37.7109375" bestFit="1" customWidth="1"/>
    <col min="407" max="407" width="36.7109375" bestFit="1" customWidth="1"/>
    <col min="408" max="408" width="37.140625" bestFit="1" customWidth="1"/>
    <col min="409" max="409" width="37" bestFit="1" customWidth="1"/>
    <col min="410" max="411" width="37.42578125" bestFit="1" customWidth="1"/>
    <col min="412" max="412" width="37.5703125" bestFit="1" customWidth="1"/>
    <col min="413" max="413" width="37.28515625" bestFit="1" customWidth="1"/>
    <col min="414" max="414" width="37.42578125" bestFit="1" customWidth="1"/>
    <col min="415" max="416" width="36.28515625" bestFit="1" customWidth="1"/>
    <col min="417" max="417" width="37" bestFit="1" customWidth="1"/>
    <col min="418" max="418" width="37.140625" bestFit="1" customWidth="1"/>
    <col min="419" max="419" width="35.85546875" bestFit="1" customWidth="1"/>
    <col min="420" max="420" width="36.28515625" bestFit="1" customWidth="1"/>
    <col min="421" max="421" width="37" bestFit="1" customWidth="1"/>
    <col min="422" max="422" width="36.42578125" bestFit="1" customWidth="1"/>
    <col min="423" max="424" width="37.140625" bestFit="1" customWidth="1"/>
    <col min="425" max="425" width="37" bestFit="1" customWidth="1"/>
    <col min="426" max="426" width="36.42578125" bestFit="1" customWidth="1"/>
    <col min="427" max="427" width="36.28515625" bestFit="1" customWidth="1"/>
    <col min="428" max="428" width="37.42578125" bestFit="1" customWidth="1"/>
    <col min="429" max="429" width="37.28515625" bestFit="1" customWidth="1"/>
    <col min="430" max="430" width="37" bestFit="1" customWidth="1"/>
    <col min="431" max="431" width="36.85546875" bestFit="1" customWidth="1"/>
    <col min="432" max="432" width="37.5703125" bestFit="1" customWidth="1"/>
    <col min="433" max="433" width="37.42578125" bestFit="1" customWidth="1"/>
    <col min="434" max="434" width="37.140625" bestFit="1" customWidth="1"/>
    <col min="435" max="435" width="37.5703125" bestFit="1" customWidth="1"/>
    <col min="436" max="436" width="37" bestFit="1" customWidth="1"/>
    <col min="437" max="437" width="37.42578125" bestFit="1" customWidth="1"/>
    <col min="438" max="438" width="38" bestFit="1" customWidth="1"/>
    <col min="439" max="439" width="37.140625" bestFit="1" customWidth="1"/>
    <col min="440" max="440" width="37" bestFit="1" customWidth="1"/>
    <col min="441" max="441" width="36.7109375" bestFit="1" customWidth="1"/>
    <col min="442" max="442" width="37.28515625" bestFit="1" customWidth="1"/>
    <col min="443" max="443" width="36.5703125" bestFit="1" customWidth="1"/>
    <col min="444" max="447" width="37.28515625" bestFit="1" customWidth="1"/>
    <col min="448" max="448" width="37.7109375" bestFit="1" customWidth="1"/>
    <col min="449" max="449" width="36.7109375" bestFit="1" customWidth="1"/>
    <col min="450" max="450" width="37.28515625" bestFit="1" customWidth="1"/>
    <col min="451" max="451" width="36.42578125" bestFit="1" customWidth="1"/>
    <col min="452" max="452" width="36.7109375" bestFit="1" customWidth="1"/>
    <col min="453" max="453" width="37.28515625" bestFit="1" customWidth="1"/>
    <col min="454" max="454" width="37" bestFit="1" customWidth="1"/>
    <col min="455" max="455" width="37.28515625" bestFit="1" customWidth="1"/>
    <col min="456" max="456" width="37.140625" bestFit="1" customWidth="1"/>
    <col min="457" max="457" width="37.5703125" bestFit="1" customWidth="1"/>
    <col min="458" max="459" width="37" bestFit="1" customWidth="1"/>
    <col min="460" max="460" width="37.140625" bestFit="1" customWidth="1"/>
    <col min="461" max="461" width="37.42578125" bestFit="1" customWidth="1"/>
    <col min="462" max="462" width="37.140625" bestFit="1" customWidth="1"/>
    <col min="463" max="463" width="37" bestFit="1" customWidth="1"/>
    <col min="464" max="464" width="37.28515625" bestFit="1" customWidth="1"/>
    <col min="465" max="465" width="37.5703125" bestFit="1" customWidth="1"/>
    <col min="466" max="466" width="36.85546875" bestFit="1" customWidth="1"/>
    <col min="467" max="467" width="36.5703125" bestFit="1" customWidth="1"/>
    <col min="468" max="468" width="35.140625" bestFit="1" customWidth="1"/>
    <col min="469" max="469" width="36.5703125" bestFit="1" customWidth="1"/>
    <col min="470" max="470" width="37.140625" bestFit="1" customWidth="1"/>
    <col min="471" max="471" width="36.28515625" bestFit="1" customWidth="1"/>
    <col min="472" max="472" width="37" bestFit="1" customWidth="1"/>
    <col min="473" max="474" width="36.5703125" bestFit="1" customWidth="1"/>
    <col min="475" max="475" width="37.28515625" bestFit="1" customWidth="1"/>
    <col min="476" max="476" width="36.42578125" bestFit="1" customWidth="1"/>
    <col min="477" max="477" width="37.7109375" bestFit="1" customWidth="1"/>
    <col min="478" max="478" width="36.42578125" bestFit="1" customWidth="1"/>
    <col min="479" max="480" width="36.85546875" bestFit="1" customWidth="1"/>
    <col min="481" max="481" width="37" bestFit="1" customWidth="1"/>
    <col min="482" max="482" width="36.5703125" bestFit="1" customWidth="1"/>
    <col min="483" max="483" width="37" bestFit="1" customWidth="1"/>
    <col min="484" max="484" width="36.85546875" bestFit="1" customWidth="1"/>
    <col min="485" max="485" width="37.7109375" bestFit="1" customWidth="1"/>
    <col min="486" max="486" width="37" bestFit="1" customWidth="1"/>
    <col min="487" max="487" width="35.7109375" bestFit="1" customWidth="1"/>
    <col min="488" max="489" width="36.85546875" bestFit="1" customWidth="1"/>
    <col min="490" max="490" width="37.28515625" bestFit="1" customWidth="1"/>
    <col min="491" max="491" width="37" bestFit="1" customWidth="1"/>
    <col min="492" max="492" width="35.85546875" bestFit="1" customWidth="1"/>
    <col min="493" max="493" width="36.7109375" bestFit="1" customWidth="1"/>
    <col min="494" max="494" width="37.5703125" bestFit="1" customWidth="1"/>
    <col min="495" max="495" width="37.28515625" bestFit="1" customWidth="1"/>
    <col min="496" max="496" width="36.7109375" bestFit="1" customWidth="1"/>
    <col min="497" max="497" width="37.42578125" bestFit="1" customWidth="1"/>
    <col min="498" max="498" width="38" bestFit="1" customWidth="1"/>
    <col min="499" max="499" width="37.28515625" bestFit="1" customWidth="1"/>
    <col min="500" max="501" width="36.85546875" bestFit="1" customWidth="1"/>
    <col min="502" max="502" width="37.140625" bestFit="1" customWidth="1"/>
    <col min="503" max="503" width="36.7109375" bestFit="1" customWidth="1"/>
    <col min="504" max="504" width="37.42578125" bestFit="1" customWidth="1"/>
    <col min="505" max="505" width="37" bestFit="1" customWidth="1"/>
    <col min="506" max="506" width="37.28515625" bestFit="1" customWidth="1"/>
    <col min="507" max="507" width="37.140625" bestFit="1" customWidth="1"/>
    <col min="508" max="508" width="36.7109375" bestFit="1" customWidth="1"/>
    <col min="509" max="509" width="38.140625" bestFit="1" customWidth="1"/>
    <col min="510" max="510" width="37.140625" bestFit="1" customWidth="1"/>
    <col min="511" max="511" width="36.85546875" bestFit="1" customWidth="1"/>
    <col min="512" max="512" width="37" bestFit="1" customWidth="1"/>
    <col min="513" max="513" width="38" bestFit="1" customWidth="1"/>
    <col min="514" max="514" width="37.140625" bestFit="1" customWidth="1"/>
    <col min="515" max="515" width="36.85546875" bestFit="1" customWidth="1"/>
    <col min="516" max="516" width="36.5703125" bestFit="1" customWidth="1"/>
    <col min="517" max="517" width="37" bestFit="1" customWidth="1"/>
    <col min="518" max="518" width="37.42578125" bestFit="1" customWidth="1"/>
    <col min="519" max="519" width="36.5703125" bestFit="1" customWidth="1"/>
    <col min="520" max="520" width="37.42578125" bestFit="1" customWidth="1"/>
    <col min="521" max="521" width="37.140625" bestFit="1" customWidth="1"/>
    <col min="522" max="522" width="36.28515625" bestFit="1" customWidth="1"/>
    <col min="523" max="523" width="36.42578125" bestFit="1" customWidth="1"/>
    <col min="524" max="524" width="37.42578125" bestFit="1" customWidth="1"/>
    <col min="525" max="525" width="36.7109375" bestFit="1" customWidth="1"/>
    <col min="526" max="526" width="37.28515625" bestFit="1" customWidth="1"/>
    <col min="527" max="529" width="37.5703125" bestFit="1" customWidth="1"/>
    <col min="530" max="530" width="36.5703125" bestFit="1" customWidth="1"/>
    <col min="531" max="531" width="37.28515625" bestFit="1" customWidth="1"/>
    <col min="532" max="532" width="37.5703125" bestFit="1" customWidth="1"/>
    <col min="533" max="534" width="37" bestFit="1" customWidth="1"/>
    <col min="535" max="535" width="37.42578125" bestFit="1" customWidth="1"/>
    <col min="536" max="536" width="37.140625" bestFit="1" customWidth="1"/>
    <col min="537" max="537" width="36.5703125" bestFit="1" customWidth="1"/>
    <col min="538" max="538" width="37" bestFit="1" customWidth="1"/>
    <col min="539" max="539" width="37.42578125" bestFit="1" customWidth="1"/>
    <col min="540" max="540" width="36" bestFit="1" customWidth="1"/>
    <col min="541" max="541" width="36.85546875" bestFit="1" customWidth="1"/>
    <col min="542" max="542" width="36.7109375" bestFit="1" customWidth="1"/>
    <col min="543" max="543" width="37.5703125" bestFit="1" customWidth="1"/>
    <col min="544" max="544" width="36.85546875" bestFit="1" customWidth="1"/>
    <col min="545" max="545" width="35.85546875" bestFit="1" customWidth="1"/>
    <col min="546" max="546" width="36.85546875" bestFit="1" customWidth="1"/>
    <col min="547" max="547" width="37" bestFit="1" customWidth="1"/>
    <col min="548" max="548" width="37.28515625" bestFit="1" customWidth="1"/>
    <col min="549" max="549" width="37.42578125" bestFit="1" customWidth="1"/>
    <col min="550" max="550" width="38" bestFit="1" customWidth="1"/>
    <col min="551" max="551" width="37.5703125" bestFit="1" customWidth="1"/>
    <col min="552" max="552" width="37.42578125" bestFit="1" customWidth="1"/>
    <col min="553" max="554" width="37.140625" bestFit="1" customWidth="1"/>
    <col min="555" max="555" width="37.42578125" bestFit="1" customWidth="1"/>
    <col min="556" max="556" width="37" bestFit="1" customWidth="1"/>
    <col min="557" max="557" width="37.28515625" bestFit="1" customWidth="1"/>
    <col min="558" max="558" width="37.42578125" bestFit="1" customWidth="1"/>
    <col min="559" max="561" width="37.140625" bestFit="1" customWidth="1"/>
    <col min="562" max="562" width="36.42578125" bestFit="1" customWidth="1"/>
    <col min="563" max="563" width="36.85546875" bestFit="1" customWidth="1"/>
    <col min="564" max="565" width="37.42578125" bestFit="1" customWidth="1"/>
    <col min="566" max="566" width="36.7109375" bestFit="1" customWidth="1"/>
    <col min="567" max="567" width="36.42578125" bestFit="1" customWidth="1"/>
    <col min="568" max="568" width="37.5703125" bestFit="1" customWidth="1"/>
    <col min="569" max="569" width="37" bestFit="1" customWidth="1"/>
    <col min="570" max="570" width="36.7109375" bestFit="1" customWidth="1"/>
    <col min="571" max="571" width="37.28515625" bestFit="1" customWidth="1"/>
    <col min="572" max="572" width="37.42578125" bestFit="1" customWidth="1"/>
    <col min="573" max="573" width="37.140625" bestFit="1" customWidth="1"/>
    <col min="574" max="574" width="37" bestFit="1" customWidth="1"/>
    <col min="575" max="576" width="37.42578125" bestFit="1" customWidth="1"/>
    <col min="577" max="577" width="36.85546875" bestFit="1" customWidth="1"/>
    <col min="578" max="580" width="37.140625" bestFit="1" customWidth="1"/>
    <col min="581" max="581" width="36.7109375" bestFit="1" customWidth="1"/>
    <col min="582" max="582" width="37.42578125" bestFit="1" customWidth="1"/>
    <col min="583" max="583" width="37.7109375" bestFit="1" customWidth="1"/>
    <col min="584" max="584" width="37" bestFit="1" customWidth="1"/>
    <col min="585" max="585" width="37.28515625" bestFit="1" customWidth="1"/>
    <col min="586" max="586" width="37.5703125" bestFit="1" customWidth="1"/>
    <col min="587" max="587" width="36.7109375" bestFit="1" customWidth="1"/>
    <col min="588" max="588" width="37.140625" bestFit="1" customWidth="1"/>
    <col min="589" max="589" width="38.140625" bestFit="1" customWidth="1"/>
    <col min="590" max="590" width="36.42578125" bestFit="1" customWidth="1"/>
    <col min="591" max="591" width="37" bestFit="1" customWidth="1"/>
    <col min="592" max="592" width="36.7109375" bestFit="1" customWidth="1"/>
    <col min="593" max="593" width="36.85546875" bestFit="1" customWidth="1"/>
    <col min="594" max="594" width="37.7109375" bestFit="1" customWidth="1"/>
    <col min="595" max="596" width="37.28515625" bestFit="1" customWidth="1"/>
    <col min="597" max="597" width="37" bestFit="1" customWidth="1"/>
    <col min="598" max="598" width="36.28515625" bestFit="1" customWidth="1"/>
    <col min="599" max="599" width="36.7109375" bestFit="1" customWidth="1"/>
    <col min="600" max="600" width="37.140625" bestFit="1" customWidth="1"/>
    <col min="601" max="601" width="36.85546875" bestFit="1" customWidth="1"/>
    <col min="602" max="602" width="37.28515625" bestFit="1" customWidth="1"/>
    <col min="603" max="603" width="36.7109375" bestFit="1" customWidth="1"/>
    <col min="604" max="604" width="36.5703125" bestFit="1" customWidth="1"/>
    <col min="605" max="605" width="36.85546875" bestFit="1" customWidth="1"/>
    <col min="606" max="607" width="37" bestFit="1" customWidth="1"/>
    <col min="608" max="608" width="37.140625" bestFit="1" customWidth="1"/>
    <col min="609" max="610" width="36.85546875" bestFit="1" customWidth="1"/>
    <col min="611" max="612" width="36.5703125" bestFit="1" customWidth="1"/>
    <col min="613" max="613" width="36.85546875" bestFit="1" customWidth="1"/>
    <col min="614" max="614" width="37.42578125" bestFit="1" customWidth="1"/>
    <col min="615" max="616" width="36.85546875" bestFit="1" customWidth="1"/>
    <col min="617" max="617" width="36.42578125" bestFit="1" customWidth="1"/>
    <col min="618" max="618" width="37.28515625" bestFit="1" customWidth="1"/>
    <col min="619" max="619" width="37.7109375" bestFit="1" customWidth="1"/>
    <col min="620" max="620" width="36.5703125" bestFit="1" customWidth="1"/>
    <col min="621" max="621" width="37.7109375" bestFit="1" customWidth="1"/>
    <col min="622" max="622" width="37.42578125" bestFit="1" customWidth="1"/>
    <col min="623" max="623" width="37.28515625" bestFit="1" customWidth="1"/>
    <col min="624" max="624" width="38.140625" bestFit="1" customWidth="1"/>
    <col min="625" max="625" width="36.85546875" bestFit="1" customWidth="1"/>
    <col min="626" max="626" width="37.42578125" bestFit="1" customWidth="1"/>
    <col min="627" max="627" width="37.7109375" bestFit="1" customWidth="1"/>
    <col min="628" max="628" width="37.140625" bestFit="1" customWidth="1"/>
    <col min="629" max="629" width="37.28515625" bestFit="1" customWidth="1"/>
    <col min="630" max="630" width="36.7109375" bestFit="1" customWidth="1"/>
    <col min="631" max="631" width="37.42578125" bestFit="1" customWidth="1"/>
    <col min="632" max="632" width="37.7109375" bestFit="1" customWidth="1"/>
    <col min="633" max="633" width="37.42578125" bestFit="1" customWidth="1"/>
    <col min="634" max="634" width="36.85546875" bestFit="1" customWidth="1"/>
    <col min="635" max="635" width="37.42578125" bestFit="1" customWidth="1"/>
    <col min="636" max="636" width="37" bestFit="1" customWidth="1"/>
    <col min="637" max="637" width="36.28515625" bestFit="1" customWidth="1"/>
    <col min="638" max="638" width="36.7109375" bestFit="1" customWidth="1"/>
    <col min="639" max="640" width="37.28515625" bestFit="1" customWidth="1"/>
    <col min="641" max="641" width="37.140625" bestFit="1" customWidth="1"/>
    <col min="642" max="642" width="36.5703125" bestFit="1" customWidth="1"/>
    <col min="643" max="645" width="37" bestFit="1" customWidth="1"/>
    <col min="646" max="646" width="37.140625" bestFit="1" customWidth="1"/>
    <col min="647" max="647" width="37.42578125" bestFit="1" customWidth="1"/>
    <col min="648" max="649" width="37" bestFit="1" customWidth="1"/>
    <col min="650" max="650" width="36.28515625" bestFit="1" customWidth="1"/>
    <col min="651" max="651" width="37.28515625" bestFit="1" customWidth="1"/>
    <col min="652" max="652" width="36.7109375" bestFit="1" customWidth="1"/>
    <col min="653" max="654" width="37.42578125" bestFit="1" customWidth="1"/>
    <col min="655" max="655" width="36.7109375" bestFit="1" customWidth="1"/>
    <col min="656" max="656" width="37.42578125" bestFit="1" customWidth="1"/>
    <col min="657" max="657" width="37" bestFit="1" customWidth="1"/>
    <col min="658" max="658" width="35.42578125" bestFit="1" customWidth="1"/>
    <col min="659" max="659" width="36.5703125" bestFit="1" customWidth="1"/>
    <col min="660" max="660" width="37.28515625" bestFit="1" customWidth="1"/>
    <col min="661" max="661" width="37.42578125" bestFit="1" customWidth="1"/>
    <col min="662" max="662" width="37" bestFit="1" customWidth="1"/>
    <col min="663" max="663" width="37.5703125" bestFit="1" customWidth="1"/>
    <col min="664" max="664" width="35.85546875" bestFit="1" customWidth="1"/>
    <col min="665" max="666" width="37" bestFit="1" customWidth="1"/>
    <col min="667" max="667" width="36.140625" bestFit="1" customWidth="1"/>
    <col min="668" max="668" width="36.5703125" bestFit="1" customWidth="1"/>
    <col min="669" max="669" width="37" bestFit="1" customWidth="1"/>
    <col min="670" max="670" width="36.7109375" bestFit="1" customWidth="1"/>
    <col min="671" max="671" width="37.42578125" bestFit="1" customWidth="1"/>
    <col min="672" max="672" width="38" bestFit="1" customWidth="1"/>
    <col min="673" max="673" width="35.5703125" bestFit="1" customWidth="1"/>
    <col min="674" max="674" width="37.7109375" bestFit="1" customWidth="1"/>
    <col min="675" max="675" width="36.85546875" bestFit="1" customWidth="1"/>
    <col min="676" max="676" width="37.140625" bestFit="1" customWidth="1"/>
    <col min="677" max="678" width="37" bestFit="1" customWidth="1"/>
    <col min="679" max="679" width="36.5703125" bestFit="1" customWidth="1"/>
    <col min="680" max="681" width="37.7109375" bestFit="1" customWidth="1"/>
    <col min="682" max="682" width="36.85546875" bestFit="1" customWidth="1"/>
    <col min="683" max="684" width="37" bestFit="1" customWidth="1"/>
    <col min="685" max="685" width="38.28515625" bestFit="1" customWidth="1"/>
    <col min="686" max="686" width="37.42578125" bestFit="1" customWidth="1"/>
    <col min="687" max="687" width="36.85546875" bestFit="1" customWidth="1"/>
    <col min="688" max="688" width="36.140625" bestFit="1" customWidth="1"/>
    <col min="689" max="689" width="36.5703125" bestFit="1" customWidth="1"/>
    <col min="690" max="690" width="37.28515625" bestFit="1" customWidth="1"/>
    <col min="691" max="691" width="36.42578125" bestFit="1" customWidth="1"/>
    <col min="692" max="692" width="36.85546875" bestFit="1" customWidth="1"/>
    <col min="693" max="693" width="37" bestFit="1" customWidth="1"/>
    <col min="694" max="694" width="36.7109375" bestFit="1" customWidth="1"/>
    <col min="695" max="695" width="36.5703125" bestFit="1" customWidth="1"/>
    <col min="696" max="696" width="37.5703125" bestFit="1" customWidth="1"/>
    <col min="697" max="697" width="35.85546875" bestFit="1" customWidth="1"/>
    <col min="698" max="698" width="37.140625" bestFit="1" customWidth="1"/>
    <col min="699" max="699" width="37.28515625" bestFit="1" customWidth="1"/>
    <col min="700" max="700" width="36.85546875" bestFit="1" customWidth="1"/>
    <col min="701" max="701" width="37.28515625" bestFit="1" customWidth="1"/>
    <col min="702" max="702" width="36.28515625" bestFit="1" customWidth="1"/>
    <col min="703" max="703" width="37.28515625" bestFit="1" customWidth="1"/>
    <col min="704" max="704" width="36.85546875" bestFit="1" customWidth="1"/>
    <col min="705" max="705" width="37" bestFit="1" customWidth="1"/>
    <col min="706" max="706" width="36.85546875" bestFit="1" customWidth="1"/>
    <col min="707" max="707" width="37.42578125" bestFit="1" customWidth="1"/>
    <col min="708" max="708" width="37.7109375" bestFit="1" customWidth="1"/>
    <col min="709" max="710" width="37.28515625" bestFit="1" customWidth="1"/>
    <col min="711" max="711" width="37" bestFit="1" customWidth="1"/>
    <col min="712" max="712" width="37.5703125" bestFit="1" customWidth="1"/>
    <col min="713" max="713" width="37" bestFit="1" customWidth="1"/>
    <col min="714" max="715" width="37.140625" bestFit="1" customWidth="1"/>
    <col min="716" max="716" width="37.5703125" bestFit="1" customWidth="1"/>
    <col min="717" max="717" width="36.7109375" bestFit="1" customWidth="1"/>
    <col min="718" max="718" width="36.42578125" bestFit="1" customWidth="1"/>
    <col min="719" max="719" width="36.85546875" bestFit="1" customWidth="1"/>
    <col min="720" max="720" width="38" bestFit="1" customWidth="1"/>
    <col min="721" max="721" width="37.42578125" bestFit="1" customWidth="1"/>
    <col min="722" max="722" width="37.5703125" bestFit="1" customWidth="1"/>
    <col min="723" max="723" width="38" bestFit="1" customWidth="1"/>
    <col min="724" max="724" width="37.5703125" bestFit="1" customWidth="1"/>
    <col min="725" max="725" width="36.42578125" bestFit="1" customWidth="1"/>
    <col min="726" max="726" width="37.140625" bestFit="1" customWidth="1"/>
    <col min="727" max="727" width="36.5703125" bestFit="1" customWidth="1"/>
    <col min="728" max="728" width="37" bestFit="1" customWidth="1"/>
    <col min="729" max="729" width="36.5703125" bestFit="1" customWidth="1"/>
    <col min="730" max="730" width="37.28515625" bestFit="1" customWidth="1"/>
    <col min="731" max="731" width="36.140625" bestFit="1" customWidth="1"/>
    <col min="732" max="732" width="36.42578125" bestFit="1" customWidth="1"/>
    <col min="733" max="733" width="37" bestFit="1" customWidth="1"/>
    <col min="734" max="734" width="36.5703125" bestFit="1" customWidth="1"/>
    <col min="735" max="735" width="37.5703125" bestFit="1" customWidth="1"/>
    <col min="736" max="736" width="37.140625" bestFit="1" customWidth="1"/>
    <col min="737" max="737" width="36.85546875" bestFit="1" customWidth="1"/>
    <col min="738" max="738" width="35.7109375" bestFit="1" customWidth="1"/>
    <col min="739" max="739" width="36.42578125" bestFit="1" customWidth="1"/>
    <col min="740" max="740" width="36.5703125" bestFit="1" customWidth="1"/>
    <col min="741" max="742" width="37.140625" bestFit="1" customWidth="1"/>
    <col min="743" max="743" width="37.42578125" bestFit="1" customWidth="1"/>
    <col min="744" max="744" width="37.28515625" bestFit="1" customWidth="1"/>
    <col min="745" max="745" width="37.42578125" bestFit="1" customWidth="1"/>
    <col min="746" max="746" width="36.7109375" bestFit="1" customWidth="1"/>
    <col min="747" max="747" width="37" bestFit="1" customWidth="1"/>
    <col min="748" max="748" width="36.140625" bestFit="1" customWidth="1"/>
    <col min="749" max="750" width="37.140625" bestFit="1" customWidth="1"/>
    <col min="751" max="751" width="37.7109375" bestFit="1" customWidth="1"/>
    <col min="752" max="752" width="37" bestFit="1" customWidth="1"/>
    <col min="753" max="753" width="36.5703125" bestFit="1" customWidth="1"/>
    <col min="754" max="754" width="37.7109375" bestFit="1" customWidth="1"/>
    <col min="755" max="755" width="36.28515625" bestFit="1" customWidth="1"/>
    <col min="756" max="756" width="36.85546875" bestFit="1" customWidth="1"/>
    <col min="757" max="757" width="36.5703125" bestFit="1" customWidth="1"/>
    <col min="758" max="758" width="37.28515625" bestFit="1" customWidth="1"/>
    <col min="759" max="759" width="37.5703125" bestFit="1" customWidth="1"/>
    <col min="760" max="761" width="36.85546875" bestFit="1" customWidth="1"/>
    <col min="762" max="763" width="36.5703125" bestFit="1" customWidth="1"/>
    <col min="764" max="764" width="37.42578125" bestFit="1" customWidth="1"/>
    <col min="765" max="765" width="37.28515625" bestFit="1" customWidth="1"/>
    <col min="766" max="766" width="36.85546875" bestFit="1" customWidth="1"/>
    <col min="767" max="767" width="37.42578125" bestFit="1" customWidth="1"/>
    <col min="768" max="768" width="37.28515625" bestFit="1" customWidth="1"/>
    <col min="769" max="769" width="37" bestFit="1" customWidth="1"/>
    <col min="770" max="770" width="36.42578125" bestFit="1" customWidth="1"/>
    <col min="771" max="771" width="37.28515625" bestFit="1" customWidth="1"/>
    <col min="772" max="772" width="36.140625" bestFit="1" customWidth="1"/>
    <col min="773" max="773" width="37.140625" bestFit="1" customWidth="1"/>
    <col min="774" max="774" width="36.28515625" bestFit="1" customWidth="1"/>
    <col min="775" max="776" width="36.85546875" bestFit="1" customWidth="1"/>
    <col min="777" max="777" width="36.7109375" bestFit="1" customWidth="1"/>
    <col min="778" max="778" width="37.42578125" bestFit="1" customWidth="1"/>
    <col min="779" max="779" width="37.5703125" bestFit="1" customWidth="1"/>
    <col min="780" max="780" width="37.140625" bestFit="1" customWidth="1"/>
    <col min="781" max="781" width="37.28515625" bestFit="1" customWidth="1"/>
    <col min="782" max="782" width="36.7109375" bestFit="1" customWidth="1"/>
    <col min="783" max="784" width="36" bestFit="1" customWidth="1"/>
    <col min="785" max="785" width="37.5703125" bestFit="1" customWidth="1"/>
    <col min="786" max="786" width="37.42578125" bestFit="1" customWidth="1"/>
    <col min="787" max="787" width="37" bestFit="1" customWidth="1"/>
    <col min="788" max="789" width="36.85546875" bestFit="1" customWidth="1"/>
    <col min="790" max="790" width="37.42578125" bestFit="1" customWidth="1"/>
    <col min="791" max="791" width="36.85546875" bestFit="1" customWidth="1"/>
    <col min="792" max="792" width="37.28515625" bestFit="1" customWidth="1"/>
    <col min="793" max="793" width="36.5703125" bestFit="1" customWidth="1"/>
    <col min="794" max="794" width="37.5703125" bestFit="1" customWidth="1"/>
    <col min="795" max="795" width="38" bestFit="1" customWidth="1"/>
    <col min="796" max="796" width="37.28515625" bestFit="1" customWidth="1"/>
    <col min="797" max="797" width="36" bestFit="1" customWidth="1"/>
    <col min="798" max="798" width="36.5703125" bestFit="1" customWidth="1"/>
    <col min="799" max="799" width="37.140625" bestFit="1" customWidth="1"/>
    <col min="800" max="800" width="36.42578125" bestFit="1" customWidth="1"/>
    <col min="801" max="801" width="36.85546875" bestFit="1" customWidth="1"/>
    <col min="802" max="802" width="36.7109375" bestFit="1" customWidth="1"/>
    <col min="803" max="803" width="36.85546875" bestFit="1" customWidth="1"/>
    <col min="804" max="804" width="37.42578125" bestFit="1" customWidth="1"/>
    <col min="805" max="805" width="37" bestFit="1" customWidth="1"/>
    <col min="806" max="806" width="37.140625" bestFit="1" customWidth="1"/>
    <col min="807" max="807" width="36.85546875" bestFit="1" customWidth="1"/>
    <col min="808" max="808" width="37.140625" bestFit="1" customWidth="1"/>
    <col min="809" max="809" width="37.5703125" bestFit="1" customWidth="1"/>
    <col min="810" max="810" width="36.85546875" bestFit="1" customWidth="1"/>
    <col min="811" max="811" width="37.28515625" bestFit="1" customWidth="1"/>
    <col min="812" max="814" width="36.85546875" bestFit="1" customWidth="1"/>
    <col min="815" max="815" width="37.5703125" bestFit="1" customWidth="1"/>
    <col min="816" max="816" width="36.42578125" bestFit="1" customWidth="1"/>
    <col min="817" max="817" width="36.7109375" bestFit="1" customWidth="1"/>
    <col min="818" max="818" width="37.7109375" bestFit="1" customWidth="1"/>
    <col min="819" max="819" width="36.85546875" bestFit="1" customWidth="1"/>
    <col min="820" max="820" width="36.42578125" bestFit="1" customWidth="1"/>
    <col min="821" max="822" width="37.140625" bestFit="1" customWidth="1"/>
    <col min="823" max="823" width="36.42578125" bestFit="1" customWidth="1"/>
    <col min="824" max="824" width="37.7109375" bestFit="1" customWidth="1"/>
    <col min="825" max="825" width="37" bestFit="1" customWidth="1"/>
    <col min="826" max="827" width="37.28515625" bestFit="1" customWidth="1"/>
    <col min="828" max="828" width="37" bestFit="1" customWidth="1"/>
    <col min="829" max="829" width="36.28515625" bestFit="1" customWidth="1"/>
    <col min="830" max="830" width="37.140625" bestFit="1" customWidth="1"/>
    <col min="831" max="831" width="37" bestFit="1" customWidth="1"/>
    <col min="832" max="832" width="37.42578125" bestFit="1" customWidth="1"/>
    <col min="833" max="834" width="36.7109375" bestFit="1" customWidth="1"/>
    <col min="835" max="835" width="36.5703125" bestFit="1" customWidth="1"/>
    <col min="836" max="837" width="37.140625" bestFit="1" customWidth="1"/>
    <col min="838" max="838" width="36.5703125" bestFit="1" customWidth="1"/>
    <col min="839" max="839" width="37" bestFit="1" customWidth="1"/>
    <col min="840" max="840" width="36.7109375" bestFit="1" customWidth="1"/>
    <col min="841" max="841" width="36.42578125" bestFit="1" customWidth="1"/>
    <col min="842" max="842" width="37.140625" bestFit="1" customWidth="1"/>
    <col min="843" max="843" width="37.7109375" bestFit="1" customWidth="1"/>
    <col min="844" max="844" width="37.140625" bestFit="1" customWidth="1"/>
    <col min="845" max="845" width="37.7109375" bestFit="1" customWidth="1"/>
    <col min="846" max="846" width="37" bestFit="1" customWidth="1"/>
    <col min="847" max="847" width="37.140625" bestFit="1" customWidth="1"/>
    <col min="848" max="848" width="37.42578125" bestFit="1" customWidth="1"/>
    <col min="849" max="849" width="38.140625" bestFit="1" customWidth="1"/>
    <col min="850" max="850" width="36.42578125" bestFit="1" customWidth="1"/>
    <col min="851" max="851" width="37.7109375" bestFit="1" customWidth="1"/>
    <col min="852" max="852" width="37.28515625" bestFit="1" customWidth="1"/>
    <col min="853" max="853" width="37.5703125" bestFit="1" customWidth="1"/>
    <col min="854" max="854" width="36.42578125" bestFit="1" customWidth="1"/>
    <col min="855" max="855" width="37.42578125" bestFit="1" customWidth="1"/>
    <col min="856" max="857" width="37.140625" bestFit="1" customWidth="1"/>
    <col min="858" max="858" width="36.5703125" bestFit="1" customWidth="1"/>
    <col min="859" max="859" width="37.28515625" bestFit="1" customWidth="1"/>
    <col min="860" max="860" width="37.42578125" bestFit="1" customWidth="1"/>
    <col min="861" max="861" width="38.5703125" bestFit="1" customWidth="1"/>
    <col min="862" max="862" width="36.7109375" bestFit="1" customWidth="1"/>
    <col min="863" max="863" width="37.28515625" bestFit="1" customWidth="1"/>
    <col min="864" max="864" width="37.7109375" bestFit="1" customWidth="1"/>
    <col min="865" max="866" width="37.140625" bestFit="1" customWidth="1"/>
    <col min="867" max="867" width="38.28515625" bestFit="1" customWidth="1"/>
    <col min="868" max="869" width="37.5703125" bestFit="1" customWidth="1"/>
    <col min="870" max="870" width="37.42578125" bestFit="1" customWidth="1"/>
    <col min="871" max="871" width="38" bestFit="1" customWidth="1"/>
    <col min="872" max="872" width="37.28515625" bestFit="1" customWidth="1"/>
    <col min="873" max="873" width="36.7109375" bestFit="1" customWidth="1"/>
    <col min="874" max="874" width="38" bestFit="1" customWidth="1"/>
    <col min="875" max="875" width="37.5703125" bestFit="1" customWidth="1"/>
    <col min="876" max="876" width="37" bestFit="1" customWidth="1"/>
    <col min="877" max="878" width="37.42578125" bestFit="1" customWidth="1"/>
    <col min="879" max="879" width="36.5703125" bestFit="1" customWidth="1"/>
    <col min="880" max="881" width="37" bestFit="1" customWidth="1"/>
    <col min="882" max="882" width="36.28515625" bestFit="1" customWidth="1"/>
    <col min="883" max="883" width="36" bestFit="1" customWidth="1"/>
    <col min="884" max="885" width="37.5703125" bestFit="1" customWidth="1"/>
    <col min="886" max="886" width="36" bestFit="1" customWidth="1"/>
    <col min="887" max="887" width="36.7109375" bestFit="1" customWidth="1"/>
    <col min="888" max="888" width="37.140625" bestFit="1" customWidth="1"/>
    <col min="889" max="889" width="36.85546875" bestFit="1" customWidth="1"/>
    <col min="890" max="890" width="37" bestFit="1" customWidth="1"/>
    <col min="891" max="891" width="37.140625" bestFit="1" customWidth="1"/>
    <col min="892" max="892" width="35" bestFit="1" customWidth="1"/>
    <col min="893" max="893" width="38" bestFit="1" customWidth="1"/>
    <col min="894" max="894" width="36.5703125" bestFit="1" customWidth="1"/>
    <col min="895" max="895" width="36.85546875" bestFit="1" customWidth="1"/>
    <col min="896" max="896" width="38" bestFit="1" customWidth="1"/>
    <col min="897" max="897" width="37.42578125" bestFit="1" customWidth="1"/>
    <col min="898" max="898" width="37.28515625" bestFit="1" customWidth="1"/>
    <col min="899" max="899" width="37.42578125" bestFit="1" customWidth="1"/>
    <col min="900" max="900" width="37.5703125" bestFit="1" customWidth="1"/>
    <col min="901" max="901" width="37.140625" bestFit="1" customWidth="1"/>
    <col min="902" max="902" width="37.42578125" bestFit="1" customWidth="1"/>
    <col min="903" max="903" width="37.28515625" bestFit="1" customWidth="1"/>
    <col min="904" max="904" width="36.42578125" bestFit="1" customWidth="1"/>
    <col min="905" max="906" width="36.85546875" bestFit="1" customWidth="1"/>
    <col min="907" max="907" width="36.140625" bestFit="1" customWidth="1"/>
    <col min="908" max="908" width="36" bestFit="1" customWidth="1"/>
    <col min="909" max="909" width="36.85546875" bestFit="1" customWidth="1"/>
    <col min="910" max="910" width="37" bestFit="1" customWidth="1"/>
    <col min="911" max="911" width="36.42578125" bestFit="1" customWidth="1"/>
    <col min="912" max="912" width="37.28515625" bestFit="1" customWidth="1"/>
    <col min="913" max="913" width="38.140625" bestFit="1" customWidth="1"/>
    <col min="914" max="914" width="37" bestFit="1" customWidth="1"/>
    <col min="915" max="915" width="37.140625" bestFit="1" customWidth="1"/>
    <col min="916" max="916" width="37" bestFit="1" customWidth="1"/>
    <col min="917" max="917" width="37.42578125" bestFit="1" customWidth="1"/>
    <col min="918" max="918" width="36.85546875" bestFit="1" customWidth="1"/>
    <col min="919" max="919" width="37.5703125" bestFit="1" customWidth="1"/>
    <col min="920" max="920" width="37" bestFit="1" customWidth="1"/>
    <col min="921" max="922" width="36.85546875" bestFit="1" customWidth="1"/>
    <col min="923" max="923" width="37.42578125" bestFit="1" customWidth="1"/>
    <col min="924" max="924" width="36.140625" bestFit="1" customWidth="1"/>
    <col min="925" max="925" width="37" bestFit="1" customWidth="1"/>
    <col min="926" max="926" width="38.28515625" bestFit="1" customWidth="1"/>
    <col min="927" max="927" width="36.7109375" bestFit="1" customWidth="1"/>
    <col min="928" max="928" width="37.140625" bestFit="1" customWidth="1"/>
    <col min="929" max="929" width="36.140625" bestFit="1" customWidth="1"/>
    <col min="930" max="930" width="37.28515625" bestFit="1" customWidth="1"/>
    <col min="931" max="931" width="37" bestFit="1" customWidth="1"/>
    <col min="932" max="932" width="38" bestFit="1" customWidth="1"/>
    <col min="933" max="933" width="36.7109375" bestFit="1" customWidth="1"/>
    <col min="934" max="934" width="37.28515625" bestFit="1" customWidth="1"/>
    <col min="935" max="935" width="37.42578125" bestFit="1" customWidth="1"/>
    <col min="936" max="936" width="37" bestFit="1" customWidth="1"/>
    <col min="937" max="937" width="36.5703125" bestFit="1" customWidth="1"/>
    <col min="938" max="938" width="36.7109375" bestFit="1" customWidth="1"/>
    <col min="939" max="939" width="36.140625" bestFit="1" customWidth="1"/>
    <col min="940" max="940" width="36.85546875" bestFit="1" customWidth="1"/>
    <col min="941" max="941" width="36.5703125" bestFit="1" customWidth="1"/>
    <col min="942" max="942" width="37.140625" bestFit="1" customWidth="1"/>
    <col min="943" max="943" width="36.42578125" bestFit="1" customWidth="1"/>
    <col min="944" max="945" width="37.140625" bestFit="1" customWidth="1"/>
    <col min="946" max="946" width="37.42578125" bestFit="1" customWidth="1"/>
    <col min="947" max="947" width="36.42578125" bestFit="1" customWidth="1"/>
    <col min="948" max="948" width="36.7109375" bestFit="1" customWidth="1"/>
    <col min="949" max="949" width="37.140625" bestFit="1" customWidth="1"/>
    <col min="950" max="950" width="36.85546875" bestFit="1" customWidth="1"/>
    <col min="951" max="951" width="36.28515625" bestFit="1" customWidth="1"/>
    <col min="952" max="952" width="37.7109375" bestFit="1" customWidth="1"/>
    <col min="953" max="953" width="36.7109375" bestFit="1" customWidth="1"/>
    <col min="954" max="954" width="37.42578125" bestFit="1" customWidth="1"/>
    <col min="955" max="955" width="36.42578125" bestFit="1" customWidth="1"/>
    <col min="956" max="956" width="37.7109375" bestFit="1" customWidth="1"/>
    <col min="957" max="957" width="37.140625" bestFit="1" customWidth="1"/>
    <col min="958" max="958" width="37" bestFit="1" customWidth="1"/>
    <col min="959" max="959" width="35.85546875" bestFit="1" customWidth="1"/>
    <col min="960" max="960" width="37.5703125" bestFit="1" customWidth="1"/>
    <col min="961" max="961" width="36.140625" bestFit="1" customWidth="1"/>
    <col min="962" max="962" width="36.85546875" bestFit="1" customWidth="1"/>
    <col min="963" max="963" width="37.42578125" bestFit="1" customWidth="1"/>
    <col min="964" max="964" width="36.5703125" bestFit="1" customWidth="1"/>
    <col min="965" max="965" width="37.140625" bestFit="1" customWidth="1"/>
    <col min="966" max="966" width="36.140625" bestFit="1" customWidth="1"/>
    <col min="967" max="967" width="37" bestFit="1" customWidth="1"/>
    <col min="968" max="968" width="37.7109375" bestFit="1" customWidth="1"/>
    <col min="969" max="969" width="36.42578125" bestFit="1" customWidth="1"/>
    <col min="970" max="970" width="38" bestFit="1" customWidth="1"/>
    <col min="971" max="972" width="36.85546875" bestFit="1" customWidth="1"/>
    <col min="973" max="973" width="37.5703125" bestFit="1" customWidth="1"/>
    <col min="974" max="974" width="37" bestFit="1" customWidth="1"/>
    <col min="975" max="975" width="37.28515625" bestFit="1" customWidth="1"/>
    <col min="976" max="976" width="36.42578125" bestFit="1" customWidth="1"/>
    <col min="977" max="977" width="37.42578125" bestFit="1" customWidth="1"/>
    <col min="978" max="978" width="36.7109375" bestFit="1" customWidth="1"/>
    <col min="979" max="979" width="37" bestFit="1" customWidth="1"/>
    <col min="980" max="980" width="36.42578125" bestFit="1" customWidth="1"/>
    <col min="981" max="981" width="36.85546875" bestFit="1" customWidth="1"/>
    <col min="982" max="982" width="36.5703125" bestFit="1" customWidth="1"/>
    <col min="983" max="984" width="36.7109375" bestFit="1" customWidth="1"/>
    <col min="985" max="985" width="37" bestFit="1" customWidth="1"/>
    <col min="986" max="986" width="36.7109375" bestFit="1" customWidth="1"/>
    <col min="987" max="987" width="36.85546875" bestFit="1" customWidth="1"/>
    <col min="988" max="988" width="37.42578125" bestFit="1" customWidth="1"/>
    <col min="989" max="989" width="36.5703125" bestFit="1" customWidth="1"/>
    <col min="990" max="990" width="37" bestFit="1" customWidth="1"/>
    <col min="991" max="991" width="36.28515625" bestFit="1" customWidth="1"/>
    <col min="992" max="992" width="36.5703125" bestFit="1" customWidth="1"/>
    <col min="993" max="993" width="36.42578125" bestFit="1" customWidth="1"/>
    <col min="994" max="994" width="37.42578125" bestFit="1" customWidth="1"/>
    <col min="995" max="996" width="37.7109375" bestFit="1" customWidth="1"/>
    <col min="997" max="997" width="36" bestFit="1" customWidth="1"/>
    <col min="998" max="998" width="36.140625" bestFit="1" customWidth="1"/>
    <col min="999" max="999" width="36.42578125" bestFit="1" customWidth="1"/>
    <col min="1000" max="1000" width="37.140625" bestFit="1" customWidth="1"/>
    <col min="1001" max="1001" width="36.42578125" bestFit="1" customWidth="1"/>
    <col min="1002" max="1002" width="37.140625" bestFit="1" customWidth="1"/>
    <col min="1003" max="1003" width="37" bestFit="1" customWidth="1"/>
    <col min="1004" max="1004" width="36.85546875" bestFit="1" customWidth="1"/>
    <col min="1005" max="1005" width="36.140625" bestFit="1" customWidth="1"/>
    <col min="1006" max="1006" width="36.85546875" bestFit="1" customWidth="1"/>
    <col min="1007" max="1007" width="38" bestFit="1" customWidth="1"/>
    <col min="1008" max="1008" width="37.28515625" bestFit="1" customWidth="1"/>
    <col min="1009" max="1009" width="37.140625" bestFit="1" customWidth="1"/>
    <col min="1010" max="1010" width="36.140625" bestFit="1" customWidth="1"/>
    <col min="1011" max="1011" width="37" bestFit="1" customWidth="1"/>
    <col min="1012" max="1012" width="36.7109375" bestFit="1" customWidth="1"/>
    <col min="1013" max="1013" width="36.42578125" bestFit="1" customWidth="1"/>
    <col min="1014" max="1015" width="36.85546875" bestFit="1" customWidth="1"/>
    <col min="1016" max="1016" width="36.42578125" bestFit="1" customWidth="1"/>
    <col min="1017" max="1017" width="38.5703125" bestFit="1" customWidth="1"/>
    <col min="1018" max="1018" width="37" bestFit="1" customWidth="1"/>
    <col min="1019" max="1019" width="35.85546875" bestFit="1" customWidth="1"/>
    <col min="1020" max="1020" width="36.7109375" bestFit="1" customWidth="1"/>
    <col min="1021" max="1021" width="37.28515625" bestFit="1" customWidth="1"/>
    <col min="1022" max="1022" width="37.42578125" bestFit="1" customWidth="1"/>
    <col min="1023" max="1023" width="37.7109375" bestFit="1" customWidth="1"/>
    <col min="1024" max="1024" width="37.5703125" bestFit="1" customWidth="1"/>
    <col min="1025" max="1025" width="37" bestFit="1" customWidth="1"/>
    <col min="1026" max="1028" width="36.5703125" bestFit="1" customWidth="1"/>
    <col min="1029" max="1029" width="36.42578125" bestFit="1" customWidth="1"/>
    <col min="1030" max="1030" width="36.7109375" bestFit="1" customWidth="1"/>
    <col min="1031" max="1031" width="38.140625" bestFit="1" customWidth="1"/>
    <col min="1032" max="1032" width="37" bestFit="1" customWidth="1"/>
    <col min="1033" max="1033" width="36.7109375" bestFit="1" customWidth="1"/>
    <col min="1034" max="1034" width="37.140625" bestFit="1" customWidth="1"/>
    <col min="1035" max="1035" width="37.28515625" bestFit="1" customWidth="1"/>
    <col min="1036" max="1037" width="37.5703125" bestFit="1" customWidth="1"/>
    <col min="1038" max="1039" width="37.42578125" bestFit="1" customWidth="1"/>
    <col min="1040" max="1040" width="37.5703125" bestFit="1" customWidth="1"/>
    <col min="1041" max="1041" width="36.7109375" bestFit="1" customWidth="1"/>
    <col min="1042" max="1043" width="37.28515625" bestFit="1" customWidth="1"/>
    <col min="1044" max="1044" width="37.42578125" bestFit="1" customWidth="1"/>
    <col min="1045" max="1045" width="37" bestFit="1" customWidth="1"/>
    <col min="1046" max="1046" width="35.85546875" bestFit="1" customWidth="1"/>
    <col min="1047" max="1047" width="36.28515625" bestFit="1" customWidth="1"/>
    <col min="1048" max="1048" width="38.140625" bestFit="1" customWidth="1"/>
    <col min="1049" max="1049" width="36.5703125" bestFit="1" customWidth="1"/>
    <col min="1050" max="1050" width="37.140625" bestFit="1" customWidth="1"/>
    <col min="1051" max="1051" width="37.7109375" bestFit="1" customWidth="1"/>
    <col min="1052" max="1052" width="37.28515625" bestFit="1" customWidth="1"/>
    <col min="1053" max="1053" width="36.85546875" bestFit="1" customWidth="1"/>
    <col min="1054" max="1054" width="36" bestFit="1" customWidth="1"/>
    <col min="1055" max="1055" width="37.140625" bestFit="1" customWidth="1"/>
    <col min="1056" max="1056" width="37.42578125" bestFit="1" customWidth="1"/>
    <col min="1057" max="1057" width="36.85546875" bestFit="1" customWidth="1"/>
    <col min="1058" max="1058" width="37.28515625" bestFit="1" customWidth="1"/>
    <col min="1059" max="1059" width="37" bestFit="1" customWidth="1"/>
    <col min="1060" max="1060" width="36.5703125" bestFit="1" customWidth="1"/>
    <col min="1061" max="1061" width="37.5703125" bestFit="1" customWidth="1"/>
    <col min="1062" max="1062" width="37.7109375" bestFit="1" customWidth="1"/>
    <col min="1063" max="1063" width="37" bestFit="1" customWidth="1"/>
    <col min="1064" max="1064" width="36.7109375" bestFit="1" customWidth="1"/>
    <col min="1065" max="1066" width="36.85546875" bestFit="1" customWidth="1"/>
    <col min="1067" max="1067" width="37.140625" bestFit="1" customWidth="1"/>
    <col min="1068" max="1068" width="36.28515625" bestFit="1" customWidth="1"/>
    <col min="1069" max="1069" width="36.5703125" bestFit="1" customWidth="1"/>
    <col min="1070" max="1070" width="36.42578125" bestFit="1" customWidth="1"/>
    <col min="1071" max="1072" width="36.140625" bestFit="1" customWidth="1"/>
    <col min="1073" max="1073" width="36.5703125" bestFit="1" customWidth="1"/>
    <col min="1074" max="1074" width="37.42578125" bestFit="1" customWidth="1"/>
    <col min="1075" max="1075" width="36" bestFit="1" customWidth="1"/>
    <col min="1076" max="1076" width="37" bestFit="1" customWidth="1"/>
    <col min="1077" max="1077" width="37.140625" bestFit="1" customWidth="1"/>
    <col min="1078" max="1078" width="35.5703125" bestFit="1" customWidth="1"/>
    <col min="1079" max="1079" width="37.140625" bestFit="1" customWidth="1"/>
    <col min="1080" max="1080" width="36.85546875" bestFit="1" customWidth="1"/>
    <col min="1081" max="1081" width="36.42578125" bestFit="1" customWidth="1"/>
    <col min="1082" max="1082" width="37.5703125" bestFit="1" customWidth="1"/>
    <col min="1083" max="1083" width="36.42578125" bestFit="1" customWidth="1"/>
    <col min="1084" max="1085" width="36.7109375" bestFit="1" customWidth="1"/>
    <col min="1086" max="1086" width="36.42578125" bestFit="1" customWidth="1"/>
    <col min="1087" max="1087" width="37.42578125" bestFit="1" customWidth="1"/>
    <col min="1088" max="1088" width="36.5703125" bestFit="1" customWidth="1"/>
    <col min="1089" max="1089" width="37.42578125" bestFit="1" customWidth="1"/>
    <col min="1090" max="1090" width="38.140625" bestFit="1" customWidth="1"/>
    <col min="1091" max="1091" width="37" bestFit="1" customWidth="1"/>
    <col min="1092" max="1092" width="38" bestFit="1" customWidth="1"/>
    <col min="1093" max="1093" width="37.7109375" bestFit="1" customWidth="1"/>
    <col min="1094" max="1094" width="36.85546875" bestFit="1" customWidth="1"/>
    <col min="1095" max="1095" width="37.5703125" bestFit="1" customWidth="1"/>
    <col min="1096" max="1097" width="37" bestFit="1" customWidth="1"/>
    <col min="1098" max="1098" width="36.42578125" bestFit="1" customWidth="1"/>
    <col min="1099" max="1099" width="37" bestFit="1" customWidth="1"/>
    <col min="1100" max="1100" width="38.28515625" bestFit="1" customWidth="1"/>
    <col min="1101" max="1101" width="36.5703125" bestFit="1" customWidth="1"/>
    <col min="1102" max="1102" width="37.28515625" bestFit="1" customWidth="1"/>
    <col min="1103" max="1103" width="36.7109375" bestFit="1" customWidth="1"/>
    <col min="1104" max="1104" width="37.7109375" bestFit="1" customWidth="1"/>
    <col min="1105" max="1105" width="37.42578125" bestFit="1" customWidth="1"/>
    <col min="1106" max="1106" width="38.140625" bestFit="1" customWidth="1"/>
    <col min="1107" max="1107" width="36.85546875" bestFit="1" customWidth="1"/>
    <col min="1108" max="1108" width="36.7109375" bestFit="1" customWidth="1"/>
    <col min="1109" max="1109" width="36.5703125" bestFit="1" customWidth="1"/>
    <col min="1110" max="1110" width="36.7109375" bestFit="1" customWidth="1"/>
    <col min="1111" max="1112" width="37.42578125" bestFit="1" customWidth="1"/>
    <col min="1113" max="1113" width="37.28515625" bestFit="1" customWidth="1"/>
    <col min="1114" max="1114" width="37.140625" bestFit="1" customWidth="1"/>
    <col min="1115" max="1115" width="37.5703125" bestFit="1" customWidth="1"/>
    <col min="1116" max="1116" width="37.28515625" bestFit="1" customWidth="1"/>
    <col min="1117" max="1117" width="37.140625" bestFit="1" customWidth="1"/>
    <col min="1118" max="1118" width="36.5703125" bestFit="1" customWidth="1"/>
    <col min="1119" max="1119" width="37" bestFit="1" customWidth="1"/>
    <col min="1120" max="1120" width="37.28515625" bestFit="1" customWidth="1"/>
    <col min="1121" max="1121" width="36.85546875" bestFit="1" customWidth="1"/>
    <col min="1122" max="1122" width="37" bestFit="1" customWidth="1"/>
    <col min="1123" max="1123" width="36.5703125" bestFit="1" customWidth="1"/>
    <col min="1124" max="1124" width="36.85546875" bestFit="1" customWidth="1"/>
    <col min="1125" max="1125" width="38" bestFit="1" customWidth="1"/>
    <col min="1126" max="1126" width="37.28515625" bestFit="1" customWidth="1"/>
    <col min="1127" max="1127" width="36.28515625" bestFit="1" customWidth="1"/>
    <col min="1128" max="1128" width="36.140625" bestFit="1" customWidth="1"/>
    <col min="1129" max="1129" width="37.7109375" bestFit="1" customWidth="1"/>
    <col min="1130" max="1130" width="37.42578125" bestFit="1" customWidth="1"/>
    <col min="1131" max="1131" width="38" bestFit="1" customWidth="1"/>
    <col min="1132" max="1132" width="35.85546875" bestFit="1" customWidth="1"/>
    <col min="1133" max="1133" width="36.85546875" bestFit="1" customWidth="1"/>
    <col min="1134" max="1134" width="37.5703125" bestFit="1" customWidth="1"/>
    <col min="1135" max="1135" width="37" bestFit="1" customWidth="1"/>
    <col min="1136" max="1136" width="36.42578125" bestFit="1" customWidth="1"/>
    <col min="1137" max="1137" width="37" bestFit="1" customWidth="1"/>
    <col min="1138" max="1138" width="37.5703125" bestFit="1" customWidth="1"/>
    <col min="1139" max="1139" width="36.28515625" bestFit="1" customWidth="1"/>
    <col min="1140" max="1140" width="37.7109375" bestFit="1" customWidth="1"/>
    <col min="1141" max="1142" width="37.5703125" bestFit="1" customWidth="1"/>
    <col min="1143" max="1143" width="37.7109375" bestFit="1" customWidth="1"/>
    <col min="1144" max="1144" width="36.42578125" bestFit="1" customWidth="1"/>
    <col min="1145" max="1145" width="37.140625" bestFit="1" customWidth="1"/>
    <col min="1146" max="1146" width="36.5703125" bestFit="1" customWidth="1"/>
    <col min="1147" max="1147" width="37.5703125" bestFit="1" customWidth="1"/>
    <col min="1148" max="1148" width="37.42578125" bestFit="1" customWidth="1"/>
    <col min="1149" max="1149" width="37.28515625" bestFit="1" customWidth="1"/>
    <col min="1150" max="1150" width="37.140625" bestFit="1" customWidth="1"/>
    <col min="1151" max="1151" width="37.7109375" bestFit="1" customWidth="1"/>
    <col min="1152" max="1152" width="36.85546875" bestFit="1" customWidth="1"/>
    <col min="1153" max="1154" width="37" bestFit="1" customWidth="1"/>
    <col min="1155" max="1155" width="36.5703125" bestFit="1" customWidth="1"/>
    <col min="1156" max="1156" width="37.140625" bestFit="1" customWidth="1"/>
    <col min="1157" max="1157" width="36.7109375" bestFit="1" customWidth="1"/>
    <col min="1158" max="1158" width="36.28515625" bestFit="1" customWidth="1"/>
    <col min="1159" max="1159" width="37.140625" bestFit="1" customWidth="1"/>
    <col min="1160" max="1160" width="37.28515625" bestFit="1" customWidth="1"/>
    <col min="1161" max="1161" width="36.7109375" bestFit="1" customWidth="1"/>
    <col min="1162" max="1162" width="36.85546875" bestFit="1" customWidth="1"/>
    <col min="1163" max="1163" width="37.42578125" bestFit="1" customWidth="1"/>
    <col min="1164" max="1164" width="36.7109375" bestFit="1" customWidth="1"/>
    <col min="1165" max="1165" width="37.140625" bestFit="1" customWidth="1"/>
    <col min="1166" max="1166" width="38" bestFit="1" customWidth="1"/>
    <col min="1167" max="1167" width="36.42578125" bestFit="1" customWidth="1"/>
    <col min="1168" max="1168" width="36.85546875" bestFit="1" customWidth="1"/>
    <col min="1169" max="1169" width="37.28515625" bestFit="1" customWidth="1"/>
    <col min="1170" max="1170" width="37.5703125" bestFit="1" customWidth="1"/>
    <col min="1171" max="1171" width="36.85546875" bestFit="1" customWidth="1"/>
    <col min="1172" max="1172" width="38.28515625" bestFit="1" customWidth="1"/>
    <col min="1173" max="1173" width="38" bestFit="1" customWidth="1"/>
    <col min="1174" max="1174" width="37.28515625" bestFit="1" customWidth="1"/>
    <col min="1175" max="1175" width="37" bestFit="1" customWidth="1"/>
    <col min="1176" max="1176" width="37.28515625" bestFit="1" customWidth="1"/>
    <col min="1177" max="1177" width="36.42578125" bestFit="1" customWidth="1"/>
    <col min="1178" max="1178" width="37" bestFit="1" customWidth="1"/>
    <col min="1179" max="1179" width="37.28515625" bestFit="1" customWidth="1"/>
    <col min="1180" max="1180" width="37.5703125" bestFit="1" customWidth="1"/>
    <col min="1181" max="1181" width="37.42578125" bestFit="1" customWidth="1"/>
    <col min="1182" max="1182" width="37" bestFit="1" customWidth="1"/>
    <col min="1183" max="1183" width="36.85546875" bestFit="1" customWidth="1"/>
    <col min="1184" max="1184" width="37" bestFit="1" customWidth="1"/>
    <col min="1185" max="1185" width="37.28515625" bestFit="1" customWidth="1"/>
    <col min="1186" max="1186" width="37" bestFit="1" customWidth="1"/>
    <col min="1187" max="1187" width="36.7109375" bestFit="1" customWidth="1"/>
    <col min="1188" max="1188" width="38.140625" bestFit="1" customWidth="1"/>
    <col min="1189" max="1189" width="37.5703125" bestFit="1" customWidth="1"/>
    <col min="1190" max="1190" width="36.85546875" bestFit="1" customWidth="1"/>
    <col min="1191" max="1191" width="37.28515625" bestFit="1" customWidth="1"/>
    <col min="1192" max="1192" width="37.140625" bestFit="1" customWidth="1"/>
    <col min="1193" max="1193" width="37.5703125" bestFit="1" customWidth="1"/>
    <col min="1194" max="1194" width="37.42578125" bestFit="1" customWidth="1"/>
    <col min="1195" max="1195" width="37.140625" bestFit="1" customWidth="1"/>
    <col min="1196" max="1196" width="36.28515625" bestFit="1" customWidth="1"/>
    <col min="1197" max="1197" width="37.28515625" bestFit="1" customWidth="1"/>
    <col min="1198" max="1198" width="37.7109375" bestFit="1" customWidth="1"/>
    <col min="1199" max="1199" width="37" bestFit="1" customWidth="1"/>
    <col min="1200" max="1200" width="37.7109375" bestFit="1" customWidth="1"/>
    <col min="1201" max="1201" width="36.5703125" bestFit="1" customWidth="1"/>
    <col min="1202" max="1202" width="36.7109375" bestFit="1" customWidth="1"/>
    <col min="1203" max="1203" width="38.140625" bestFit="1" customWidth="1"/>
    <col min="1204" max="1204" width="36.85546875" bestFit="1" customWidth="1"/>
    <col min="1205" max="1205" width="37.140625" bestFit="1" customWidth="1"/>
    <col min="1206" max="1206" width="36.28515625" bestFit="1" customWidth="1"/>
    <col min="1207" max="1207" width="37" bestFit="1" customWidth="1"/>
    <col min="1208" max="1208" width="37.140625" bestFit="1" customWidth="1"/>
    <col min="1209" max="1209" width="37.5703125" bestFit="1" customWidth="1"/>
    <col min="1210" max="1210" width="37.7109375" bestFit="1" customWidth="1"/>
    <col min="1211" max="1211" width="37.140625" bestFit="1" customWidth="1"/>
    <col min="1212" max="1212" width="36.85546875" bestFit="1" customWidth="1"/>
    <col min="1213" max="1213" width="38" bestFit="1" customWidth="1"/>
    <col min="1214" max="1214" width="36.7109375" bestFit="1" customWidth="1"/>
    <col min="1215" max="1216" width="36.28515625" bestFit="1" customWidth="1"/>
    <col min="1217" max="1217" width="36.85546875" bestFit="1" customWidth="1"/>
    <col min="1218" max="1218" width="36.7109375" bestFit="1" customWidth="1"/>
    <col min="1219" max="1219" width="36.28515625" bestFit="1" customWidth="1"/>
    <col min="1220" max="1220" width="37.28515625" bestFit="1" customWidth="1"/>
    <col min="1221" max="1221" width="36.85546875" bestFit="1" customWidth="1"/>
    <col min="1222" max="1222" width="37.42578125" bestFit="1" customWidth="1"/>
    <col min="1223" max="1223" width="36.5703125" bestFit="1" customWidth="1"/>
    <col min="1224" max="1224" width="36.7109375" bestFit="1" customWidth="1"/>
    <col min="1225" max="1225" width="37" bestFit="1" customWidth="1"/>
    <col min="1226" max="1226" width="37.42578125" bestFit="1" customWidth="1"/>
    <col min="1227" max="1227" width="37.28515625" bestFit="1" customWidth="1"/>
    <col min="1228" max="1228" width="36.42578125" bestFit="1" customWidth="1"/>
    <col min="1229" max="1229" width="36" bestFit="1" customWidth="1"/>
    <col min="1230" max="1230" width="37.7109375" bestFit="1" customWidth="1"/>
    <col min="1231" max="1231" width="36.7109375" bestFit="1" customWidth="1"/>
    <col min="1232" max="1232" width="36.28515625" bestFit="1" customWidth="1"/>
    <col min="1233" max="1233" width="38" bestFit="1" customWidth="1"/>
    <col min="1234" max="1234" width="36.7109375" bestFit="1" customWidth="1"/>
    <col min="1235" max="1235" width="37.140625" bestFit="1" customWidth="1"/>
    <col min="1236" max="1236" width="36.28515625" bestFit="1" customWidth="1"/>
    <col min="1237" max="1237" width="37.28515625" bestFit="1" customWidth="1"/>
    <col min="1238" max="1238" width="37.140625" bestFit="1" customWidth="1"/>
    <col min="1239" max="1239" width="36.28515625" bestFit="1" customWidth="1"/>
    <col min="1240" max="1240" width="36.5703125" bestFit="1" customWidth="1"/>
    <col min="1241" max="1241" width="37" bestFit="1" customWidth="1"/>
    <col min="1242" max="1242" width="36.7109375" bestFit="1" customWidth="1"/>
    <col min="1243" max="1243" width="37.42578125" bestFit="1" customWidth="1"/>
    <col min="1244" max="1244" width="37.5703125" bestFit="1" customWidth="1"/>
    <col min="1245" max="1245" width="36.85546875" bestFit="1" customWidth="1"/>
    <col min="1246" max="1246" width="36.42578125" bestFit="1" customWidth="1"/>
    <col min="1247" max="1247" width="37" bestFit="1" customWidth="1"/>
    <col min="1248" max="1248" width="36.85546875" bestFit="1" customWidth="1"/>
    <col min="1249" max="1249" width="36.7109375" bestFit="1" customWidth="1"/>
    <col min="1250" max="1250" width="36.42578125" bestFit="1" customWidth="1"/>
    <col min="1251" max="1251" width="36.5703125" bestFit="1" customWidth="1"/>
    <col min="1252" max="1253" width="37.28515625" bestFit="1" customWidth="1"/>
    <col min="1254" max="1254" width="37.140625" bestFit="1" customWidth="1"/>
    <col min="1255" max="1255" width="37" bestFit="1" customWidth="1"/>
    <col min="1256" max="1256" width="36.140625" bestFit="1" customWidth="1"/>
    <col min="1257" max="1257" width="37.42578125" bestFit="1" customWidth="1"/>
    <col min="1258" max="1258" width="37.140625" bestFit="1" customWidth="1"/>
    <col min="1259" max="1259" width="35.7109375" bestFit="1" customWidth="1"/>
    <col min="1260" max="1260" width="37.28515625" bestFit="1" customWidth="1"/>
    <col min="1261" max="1261" width="36.85546875" bestFit="1" customWidth="1"/>
    <col min="1262" max="1262" width="36.140625" bestFit="1" customWidth="1"/>
    <col min="1263" max="1263" width="37" bestFit="1" customWidth="1"/>
    <col min="1264" max="1264" width="36.85546875" bestFit="1" customWidth="1"/>
    <col min="1265" max="1265" width="38" bestFit="1" customWidth="1"/>
    <col min="1266" max="1266" width="35.7109375" bestFit="1" customWidth="1"/>
    <col min="1267" max="1267" width="37.7109375" bestFit="1" customWidth="1"/>
    <col min="1268" max="1268" width="37.42578125" bestFit="1" customWidth="1"/>
    <col min="1269" max="1269" width="37" bestFit="1" customWidth="1"/>
    <col min="1270" max="1270" width="37.42578125" bestFit="1" customWidth="1"/>
    <col min="1271" max="1271" width="36.5703125" bestFit="1" customWidth="1"/>
    <col min="1272" max="1272" width="36.85546875" bestFit="1" customWidth="1"/>
    <col min="1273" max="1273" width="37.5703125" bestFit="1" customWidth="1"/>
    <col min="1274" max="1275" width="36.5703125" bestFit="1" customWidth="1"/>
    <col min="1276" max="1276" width="36.85546875" bestFit="1" customWidth="1"/>
    <col min="1277" max="1277" width="36.7109375" bestFit="1" customWidth="1"/>
    <col min="1278" max="1278" width="37.28515625" bestFit="1" customWidth="1"/>
    <col min="1279" max="1279" width="36.42578125" bestFit="1" customWidth="1"/>
    <col min="1280" max="1281" width="37" bestFit="1" customWidth="1"/>
    <col min="1282" max="1282" width="36.42578125" bestFit="1" customWidth="1"/>
    <col min="1283" max="1283" width="36.85546875" bestFit="1" customWidth="1"/>
    <col min="1284" max="1284" width="37" bestFit="1" customWidth="1"/>
    <col min="1285" max="1286" width="36.7109375" bestFit="1" customWidth="1"/>
    <col min="1287" max="1287" width="37" bestFit="1" customWidth="1"/>
    <col min="1288" max="1288" width="36.42578125" bestFit="1" customWidth="1"/>
    <col min="1289" max="1289" width="37" bestFit="1" customWidth="1"/>
    <col min="1290" max="1290" width="36.7109375" bestFit="1" customWidth="1"/>
    <col min="1291" max="1291" width="38.140625" bestFit="1" customWidth="1"/>
    <col min="1292" max="1292" width="38.28515625" bestFit="1" customWidth="1"/>
    <col min="1293" max="1293" width="37.28515625" bestFit="1" customWidth="1"/>
    <col min="1294" max="1294" width="36.7109375" bestFit="1" customWidth="1"/>
    <col min="1295" max="1295" width="36.85546875" bestFit="1" customWidth="1"/>
    <col min="1296" max="1296" width="37.28515625" bestFit="1" customWidth="1"/>
    <col min="1297" max="1297" width="37.7109375" bestFit="1" customWidth="1"/>
    <col min="1298" max="1298" width="37.28515625" bestFit="1" customWidth="1"/>
    <col min="1299" max="1299" width="36.42578125" bestFit="1" customWidth="1"/>
    <col min="1300" max="1301" width="37.140625" bestFit="1" customWidth="1"/>
    <col min="1302" max="1302" width="36.5703125" bestFit="1" customWidth="1"/>
    <col min="1303" max="1303" width="36.42578125" bestFit="1" customWidth="1"/>
    <col min="1304" max="1304" width="38" bestFit="1" customWidth="1"/>
    <col min="1305" max="1306" width="37.140625" bestFit="1" customWidth="1"/>
    <col min="1307" max="1307" width="35.5703125" bestFit="1" customWidth="1"/>
    <col min="1308" max="1308" width="36.7109375" bestFit="1" customWidth="1"/>
    <col min="1309" max="1310" width="37" bestFit="1" customWidth="1"/>
    <col min="1311" max="1311" width="37.28515625" bestFit="1" customWidth="1"/>
    <col min="1312" max="1312" width="37.5703125" bestFit="1" customWidth="1"/>
    <col min="1313" max="1313" width="36.28515625" bestFit="1" customWidth="1"/>
    <col min="1314" max="1314" width="36.5703125" bestFit="1" customWidth="1"/>
    <col min="1315" max="1315" width="37" bestFit="1" customWidth="1"/>
    <col min="1316" max="1316" width="35.5703125" bestFit="1" customWidth="1"/>
    <col min="1317" max="1317" width="36.28515625" bestFit="1" customWidth="1"/>
    <col min="1318" max="1318" width="36.85546875" bestFit="1" customWidth="1"/>
    <col min="1319" max="1319" width="37.5703125" bestFit="1" customWidth="1"/>
    <col min="1320" max="1320" width="36.140625" bestFit="1" customWidth="1"/>
    <col min="1321" max="1321" width="38.140625" bestFit="1" customWidth="1"/>
    <col min="1322" max="1322" width="37.42578125" bestFit="1" customWidth="1"/>
    <col min="1323" max="1323" width="37.5703125" bestFit="1" customWidth="1"/>
    <col min="1324" max="1324" width="36.85546875" bestFit="1" customWidth="1"/>
    <col min="1325" max="1325" width="37.140625" bestFit="1" customWidth="1"/>
    <col min="1326" max="1326" width="36.85546875" bestFit="1" customWidth="1"/>
    <col min="1327" max="1327" width="37.28515625" bestFit="1" customWidth="1"/>
    <col min="1328" max="1328" width="36.85546875" bestFit="1" customWidth="1"/>
    <col min="1329" max="1329" width="37" bestFit="1" customWidth="1"/>
    <col min="1330" max="1330" width="36.85546875" bestFit="1" customWidth="1"/>
    <col min="1331" max="1331" width="36.7109375" bestFit="1" customWidth="1"/>
    <col min="1332" max="1332" width="37.140625" bestFit="1" customWidth="1"/>
    <col min="1333" max="1333" width="37.42578125" bestFit="1" customWidth="1"/>
    <col min="1334" max="1335" width="36.5703125" bestFit="1" customWidth="1"/>
    <col min="1336" max="1336" width="36.28515625" bestFit="1" customWidth="1"/>
    <col min="1337" max="1337" width="36.42578125" bestFit="1" customWidth="1"/>
    <col min="1338" max="1338" width="36.28515625" bestFit="1" customWidth="1"/>
    <col min="1339" max="1339" width="37.28515625" bestFit="1" customWidth="1"/>
    <col min="1340" max="1340" width="36.7109375" bestFit="1" customWidth="1"/>
    <col min="1341" max="1341" width="37.140625" bestFit="1" customWidth="1"/>
    <col min="1342" max="1342" width="37" bestFit="1" customWidth="1"/>
    <col min="1343" max="1343" width="37.140625" bestFit="1" customWidth="1"/>
    <col min="1344" max="1344" width="36.42578125" bestFit="1" customWidth="1"/>
    <col min="1345" max="1345" width="36.85546875" bestFit="1" customWidth="1"/>
    <col min="1346" max="1346" width="37.140625" bestFit="1" customWidth="1"/>
    <col min="1347" max="1347" width="36.85546875" bestFit="1" customWidth="1"/>
    <col min="1348" max="1348" width="37" bestFit="1" customWidth="1"/>
    <col min="1349" max="1349" width="37.42578125" bestFit="1" customWidth="1"/>
    <col min="1350" max="1350" width="37.5703125" bestFit="1" customWidth="1"/>
    <col min="1351" max="1352" width="37" bestFit="1" customWidth="1"/>
    <col min="1353" max="1355" width="37.140625" bestFit="1" customWidth="1"/>
    <col min="1356" max="1356" width="37.7109375" bestFit="1" customWidth="1"/>
    <col min="1357" max="1357" width="36.7109375" bestFit="1" customWidth="1"/>
    <col min="1358" max="1358" width="38" bestFit="1" customWidth="1"/>
    <col min="1359" max="1359" width="37.140625" bestFit="1" customWidth="1"/>
    <col min="1360" max="1360" width="36.7109375" bestFit="1" customWidth="1"/>
    <col min="1361" max="1361" width="37" bestFit="1" customWidth="1"/>
    <col min="1362" max="1362" width="36.7109375" bestFit="1" customWidth="1"/>
    <col min="1363" max="1364" width="36.85546875" bestFit="1" customWidth="1"/>
    <col min="1365" max="1365" width="37.5703125" bestFit="1" customWidth="1"/>
    <col min="1366" max="1366" width="37.42578125" bestFit="1" customWidth="1"/>
    <col min="1367" max="1367" width="37" bestFit="1" customWidth="1"/>
    <col min="1368" max="1368" width="36.42578125" bestFit="1" customWidth="1"/>
    <col min="1369" max="1369" width="37.42578125" bestFit="1" customWidth="1"/>
    <col min="1370" max="1370" width="36.85546875" bestFit="1" customWidth="1"/>
    <col min="1371" max="1372" width="37.28515625" bestFit="1" customWidth="1"/>
    <col min="1373" max="1373" width="37.42578125" bestFit="1" customWidth="1"/>
    <col min="1374" max="1374" width="36.42578125" bestFit="1" customWidth="1"/>
    <col min="1375" max="1375" width="36.5703125" bestFit="1" customWidth="1"/>
    <col min="1376" max="1376" width="37.28515625" bestFit="1" customWidth="1"/>
    <col min="1377" max="1377" width="37" bestFit="1" customWidth="1"/>
    <col min="1378" max="1378" width="37.42578125" bestFit="1" customWidth="1"/>
    <col min="1379" max="1379" width="38.42578125" bestFit="1" customWidth="1"/>
    <col min="1380" max="1380" width="38.140625" bestFit="1" customWidth="1"/>
    <col min="1381" max="1381" width="37.42578125" bestFit="1" customWidth="1"/>
    <col min="1382" max="1382" width="37.140625" bestFit="1" customWidth="1"/>
    <col min="1383" max="1383" width="36.28515625" bestFit="1" customWidth="1"/>
    <col min="1384" max="1384" width="37.28515625" bestFit="1" customWidth="1"/>
    <col min="1385" max="1385" width="36.85546875" bestFit="1" customWidth="1"/>
    <col min="1386" max="1386" width="37.140625" bestFit="1" customWidth="1"/>
    <col min="1387" max="1387" width="36.140625" bestFit="1" customWidth="1"/>
    <col min="1388" max="1388" width="37.28515625" bestFit="1" customWidth="1"/>
    <col min="1389" max="1389" width="36.85546875" bestFit="1" customWidth="1"/>
    <col min="1390" max="1390" width="38" bestFit="1" customWidth="1"/>
    <col min="1391" max="1391" width="36.42578125" bestFit="1" customWidth="1"/>
    <col min="1392" max="1392" width="37.42578125" bestFit="1" customWidth="1"/>
    <col min="1393" max="1393" width="36.5703125" bestFit="1" customWidth="1"/>
    <col min="1394" max="1394" width="37" bestFit="1" customWidth="1"/>
    <col min="1395" max="1395" width="36.140625" bestFit="1" customWidth="1"/>
    <col min="1396" max="1396" width="37.28515625" bestFit="1" customWidth="1"/>
    <col min="1397" max="1397" width="36.7109375" bestFit="1" customWidth="1"/>
    <col min="1398" max="1398" width="37.5703125" bestFit="1" customWidth="1"/>
    <col min="1399" max="1399" width="37.28515625" bestFit="1" customWidth="1"/>
    <col min="1400" max="1400" width="37" bestFit="1" customWidth="1"/>
    <col min="1401" max="1401" width="38.5703125" bestFit="1" customWidth="1"/>
    <col min="1402" max="1402" width="37.7109375" bestFit="1" customWidth="1"/>
    <col min="1403" max="1403" width="37" bestFit="1" customWidth="1"/>
    <col min="1404" max="1405" width="36.7109375" bestFit="1" customWidth="1"/>
    <col min="1406" max="1406" width="37.7109375" bestFit="1" customWidth="1"/>
    <col min="1407" max="1407" width="37.140625" bestFit="1" customWidth="1"/>
    <col min="1408" max="1408" width="36.7109375" bestFit="1" customWidth="1"/>
    <col min="1409" max="1409" width="36.85546875" bestFit="1" customWidth="1"/>
    <col min="1410" max="1410" width="36.5703125" bestFit="1" customWidth="1"/>
    <col min="1411" max="1411" width="36.28515625" bestFit="1" customWidth="1"/>
    <col min="1412" max="1412" width="36.7109375" bestFit="1" customWidth="1"/>
    <col min="1413" max="1415" width="37.140625" bestFit="1" customWidth="1"/>
    <col min="1416" max="1416" width="37.5703125" bestFit="1" customWidth="1"/>
    <col min="1417" max="1417" width="37" bestFit="1" customWidth="1"/>
    <col min="1418" max="1418" width="37.5703125" bestFit="1" customWidth="1"/>
    <col min="1419" max="1419" width="36.7109375" bestFit="1" customWidth="1"/>
    <col min="1420" max="1421" width="37" bestFit="1" customWidth="1"/>
    <col min="1422" max="1423" width="36.7109375" bestFit="1" customWidth="1"/>
    <col min="1424" max="1425" width="37.140625" bestFit="1" customWidth="1"/>
    <col min="1426" max="1426" width="36.85546875" bestFit="1" customWidth="1"/>
    <col min="1427" max="1427" width="38" bestFit="1" customWidth="1"/>
    <col min="1428" max="1428" width="37" bestFit="1" customWidth="1"/>
    <col min="1429" max="1429" width="36.5703125" bestFit="1" customWidth="1"/>
    <col min="1430" max="1430" width="37.28515625" bestFit="1" customWidth="1"/>
    <col min="1431" max="1431" width="36.28515625" bestFit="1" customWidth="1"/>
    <col min="1432" max="1432" width="37.5703125" bestFit="1" customWidth="1"/>
    <col min="1433" max="1434" width="38" bestFit="1" customWidth="1"/>
    <col min="1435" max="1435" width="37.7109375" bestFit="1" customWidth="1"/>
    <col min="1436" max="1436" width="36.42578125" bestFit="1" customWidth="1"/>
    <col min="1437" max="1437" width="37.140625" bestFit="1" customWidth="1"/>
    <col min="1438" max="1438" width="36.5703125" bestFit="1" customWidth="1"/>
    <col min="1439" max="1439" width="37.42578125" bestFit="1" customWidth="1"/>
    <col min="1440" max="1440" width="37.28515625" bestFit="1" customWidth="1"/>
    <col min="1441" max="1441" width="36.140625" bestFit="1" customWidth="1"/>
    <col min="1442" max="1442" width="36.5703125" bestFit="1" customWidth="1"/>
    <col min="1443" max="1443" width="37.7109375" bestFit="1" customWidth="1"/>
    <col min="1444" max="1444" width="37.42578125" bestFit="1" customWidth="1"/>
    <col min="1445" max="1445" width="37.5703125" bestFit="1" customWidth="1"/>
    <col min="1446" max="1446" width="37.28515625" bestFit="1" customWidth="1"/>
    <col min="1447" max="1448" width="37" bestFit="1" customWidth="1"/>
    <col min="1449" max="1449" width="37.42578125" bestFit="1" customWidth="1"/>
    <col min="1450" max="1450" width="38.5703125" bestFit="1" customWidth="1"/>
    <col min="1451" max="1451" width="36.5703125" bestFit="1" customWidth="1"/>
    <col min="1452" max="1453" width="37.140625" bestFit="1" customWidth="1"/>
    <col min="1454" max="1454" width="37.28515625" bestFit="1" customWidth="1"/>
    <col min="1455" max="1455" width="37" bestFit="1" customWidth="1"/>
    <col min="1456" max="1456" width="36.7109375" bestFit="1" customWidth="1"/>
    <col min="1457" max="1457" width="37.42578125" bestFit="1" customWidth="1"/>
    <col min="1458" max="1458" width="37.28515625" bestFit="1" customWidth="1"/>
    <col min="1459" max="1460" width="37.140625" bestFit="1" customWidth="1"/>
    <col min="1461" max="1461" width="36.5703125" bestFit="1" customWidth="1"/>
    <col min="1462" max="1462" width="36.7109375" bestFit="1" customWidth="1"/>
    <col min="1463" max="1463" width="36.5703125" bestFit="1" customWidth="1"/>
    <col min="1464" max="1464" width="37.42578125" bestFit="1" customWidth="1"/>
    <col min="1465" max="1465" width="36.7109375" bestFit="1" customWidth="1"/>
    <col min="1466" max="1466" width="37" bestFit="1" customWidth="1"/>
    <col min="1467" max="1467" width="37.140625" bestFit="1" customWidth="1"/>
    <col min="1468" max="1469" width="36.5703125" bestFit="1" customWidth="1"/>
    <col min="1470" max="1470" width="36.42578125" bestFit="1" customWidth="1"/>
    <col min="1471" max="1471" width="38" bestFit="1" customWidth="1"/>
    <col min="1472" max="1472" width="37" bestFit="1" customWidth="1"/>
    <col min="1473" max="1473" width="36.28515625" bestFit="1" customWidth="1"/>
    <col min="1474" max="1474" width="38.140625" bestFit="1" customWidth="1"/>
    <col min="1475" max="1475" width="37" bestFit="1" customWidth="1"/>
    <col min="1476" max="1476" width="36.140625" bestFit="1" customWidth="1"/>
    <col min="1477" max="1477" width="37" bestFit="1" customWidth="1"/>
    <col min="1478" max="1478" width="36.7109375" bestFit="1" customWidth="1"/>
    <col min="1479" max="1479" width="37.140625" bestFit="1" customWidth="1"/>
    <col min="1480" max="1480" width="37.42578125" bestFit="1" customWidth="1"/>
    <col min="1481" max="1481" width="36.42578125" bestFit="1" customWidth="1"/>
    <col min="1482" max="1482" width="36.28515625" bestFit="1" customWidth="1"/>
    <col min="1483" max="1483" width="36.5703125" bestFit="1" customWidth="1"/>
    <col min="1484" max="1484" width="37.28515625" bestFit="1" customWidth="1"/>
    <col min="1485" max="1485" width="37.42578125" bestFit="1" customWidth="1"/>
    <col min="1486" max="1486" width="36.85546875" bestFit="1" customWidth="1"/>
    <col min="1487" max="1488" width="37.28515625" bestFit="1" customWidth="1"/>
    <col min="1489" max="1489" width="35.85546875" bestFit="1" customWidth="1"/>
    <col min="1490" max="1490" width="36.42578125" bestFit="1" customWidth="1"/>
    <col min="1491" max="1491" width="37" bestFit="1" customWidth="1"/>
    <col min="1492" max="1492" width="37.42578125" bestFit="1" customWidth="1"/>
    <col min="1493" max="1493" width="37.140625" bestFit="1" customWidth="1"/>
    <col min="1494" max="1494" width="36.140625" bestFit="1" customWidth="1"/>
    <col min="1495" max="1495" width="36.85546875" bestFit="1" customWidth="1"/>
    <col min="1496" max="1496" width="37.5703125" bestFit="1" customWidth="1"/>
    <col min="1497" max="1497" width="36.5703125" bestFit="1" customWidth="1"/>
    <col min="1498" max="1498" width="37.42578125" bestFit="1" customWidth="1"/>
    <col min="1499" max="1499" width="36.85546875" bestFit="1" customWidth="1"/>
    <col min="1500" max="1500" width="38" bestFit="1" customWidth="1"/>
    <col min="1501" max="1501" width="36.7109375" bestFit="1" customWidth="1"/>
    <col min="1502" max="1502" width="37.42578125" bestFit="1" customWidth="1"/>
    <col min="1503" max="1503" width="37" bestFit="1" customWidth="1"/>
    <col min="1504" max="1504" width="37.42578125" bestFit="1" customWidth="1"/>
    <col min="1505" max="1505" width="37.140625" bestFit="1" customWidth="1"/>
    <col min="1506" max="1506" width="37.7109375" bestFit="1" customWidth="1"/>
    <col min="1507" max="1507" width="37" bestFit="1" customWidth="1"/>
    <col min="1508" max="1508" width="36" bestFit="1" customWidth="1"/>
    <col min="1509" max="1510" width="37.42578125" bestFit="1" customWidth="1"/>
    <col min="1511" max="1511" width="36.85546875" bestFit="1" customWidth="1"/>
    <col min="1512" max="1512" width="36.7109375" bestFit="1" customWidth="1"/>
    <col min="1513" max="1513" width="36.85546875" bestFit="1" customWidth="1"/>
    <col min="1514" max="1514" width="38.140625" bestFit="1" customWidth="1"/>
    <col min="1515" max="1515" width="36.85546875" bestFit="1" customWidth="1"/>
    <col min="1516" max="1516" width="37.42578125" bestFit="1" customWidth="1"/>
    <col min="1517" max="1517" width="36.5703125" bestFit="1" customWidth="1"/>
    <col min="1518" max="1518" width="37.7109375" bestFit="1" customWidth="1"/>
    <col min="1519" max="1520" width="37.5703125" bestFit="1" customWidth="1"/>
    <col min="1521" max="1521" width="36.85546875" bestFit="1" customWidth="1"/>
    <col min="1522" max="1522" width="36.7109375" bestFit="1" customWidth="1"/>
    <col min="1523" max="1523" width="35.7109375" bestFit="1" customWidth="1"/>
    <col min="1524" max="1524" width="37.42578125" bestFit="1" customWidth="1"/>
    <col min="1525" max="1525" width="36.42578125" bestFit="1" customWidth="1"/>
    <col min="1526" max="1526" width="37.140625" bestFit="1" customWidth="1"/>
    <col min="1527" max="1527" width="37.5703125" bestFit="1" customWidth="1"/>
    <col min="1528" max="1528" width="38.140625" bestFit="1" customWidth="1"/>
    <col min="1529" max="1529" width="36.85546875" bestFit="1" customWidth="1"/>
    <col min="1530" max="1530" width="36.140625" bestFit="1" customWidth="1"/>
    <col min="1531" max="1531" width="37.140625" bestFit="1" customWidth="1"/>
    <col min="1532" max="1532" width="36.5703125" bestFit="1" customWidth="1"/>
    <col min="1533" max="1533" width="37.42578125" bestFit="1" customWidth="1"/>
    <col min="1534" max="1534" width="36.7109375" bestFit="1" customWidth="1"/>
    <col min="1535" max="1536" width="36.5703125" bestFit="1" customWidth="1"/>
    <col min="1537" max="1537" width="37.42578125" bestFit="1" customWidth="1"/>
    <col min="1538" max="1538" width="37.140625" bestFit="1" customWidth="1"/>
    <col min="1539" max="1539" width="37" bestFit="1" customWidth="1"/>
    <col min="1540" max="1540" width="37.28515625" bestFit="1" customWidth="1"/>
    <col min="1541" max="1541" width="36.5703125" bestFit="1" customWidth="1"/>
    <col min="1542" max="1542" width="37.7109375" bestFit="1" customWidth="1"/>
    <col min="1543" max="1543" width="36.85546875" bestFit="1" customWidth="1"/>
    <col min="1544" max="1544" width="37.7109375" bestFit="1" customWidth="1"/>
    <col min="1545" max="1545" width="36.7109375" bestFit="1" customWidth="1"/>
    <col min="1546" max="1546" width="36.42578125" bestFit="1" customWidth="1"/>
    <col min="1547" max="1547" width="37.42578125" bestFit="1" customWidth="1"/>
    <col min="1548" max="1548" width="36.7109375" bestFit="1" customWidth="1"/>
    <col min="1549" max="1549" width="36.140625" bestFit="1" customWidth="1"/>
    <col min="1550" max="1550" width="36.7109375" bestFit="1" customWidth="1"/>
    <col min="1551" max="1551" width="37" bestFit="1" customWidth="1"/>
    <col min="1552" max="1552" width="37.140625" bestFit="1" customWidth="1"/>
    <col min="1553" max="1553" width="36.5703125" bestFit="1" customWidth="1"/>
    <col min="1554" max="1554" width="38" bestFit="1" customWidth="1"/>
    <col min="1555" max="1555" width="36.42578125" bestFit="1" customWidth="1"/>
    <col min="1556" max="1556" width="37.5703125" bestFit="1" customWidth="1"/>
    <col min="1557" max="1557" width="36.7109375" bestFit="1" customWidth="1"/>
    <col min="1558" max="1558" width="36.85546875" bestFit="1" customWidth="1"/>
    <col min="1559" max="1559" width="37.140625" bestFit="1" customWidth="1"/>
    <col min="1560" max="1560" width="37.7109375" bestFit="1" customWidth="1"/>
    <col min="1561" max="1561" width="37.5703125" bestFit="1" customWidth="1"/>
    <col min="1562" max="1562" width="37.42578125" bestFit="1" customWidth="1"/>
    <col min="1563" max="1563" width="36.42578125" bestFit="1" customWidth="1"/>
    <col min="1564" max="1565" width="37" bestFit="1" customWidth="1"/>
    <col min="1566" max="1566" width="38" bestFit="1" customWidth="1"/>
    <col min="1567" max="1567" width="36.42578125" bestFit="1" customWidth="1"/>
    <col min="1568" max="1568" width="37.42578125" bestFit="1" customWidth="1"/>
    <col min="1569" max="1569" width="37.7109375" bestFit="1" customWidth="1"/>
    <col min="1570" max="1570" width="37.28515625" bestFit="1" customWidth="1"/>
    <col min="1571" max="1571" width="37" bestFit="1" customWidth="1"/>
    <col min="1572" max="1572" width="37.5703125" bestFit="1" customWidth="1"/>
    <col min="1573" max="1573" width="37.28515625" bestFit="1" customWidth="1"/>
    <col min="1574" max="1574" width="36.7109375" bestFit="1" customWidth="1"/>
    <col min="1575" max="1575" width="37.42578125" bestFit="1" customWidth="1"/>
    <col min="1576" max="1576" width="36.140625" bestFit="1" customWidth="1"/>
    <col min="1577" max="1577" width="37" bestFit="1" customWidth="1"/>
    <col min="1578" max="1578" width="36.140625" bestFit="1" customWidth="1"/>
    <col min="1579" max="1579" width="37.140625" bestFit="1" customWidth="1"/>
    <col min="1580" max="1580" width="37.28515625" bestFit="1" customWidth="1"/>
    <col min="1581" max="1581" width="35.85546875" bestFit="1" customWidth="1"/>
    <col min="1582" max="1582" width="37.140625" bestFit="1" customWidth="1"/>
    <col min="1583" max="1583" width="37.42578125" bestFit="1" customWidth="1"/>
    <col min="1584" max="1584" width="37" bestFit="1" customWidth="1"/>
    <col min="1585" max="1585" width="36.85546875" bestFit="1" customWidth="1"/>
    <col min="1586" max="1586" width="36.28515625" bestFit="1" customWidth="1"/>
    <col min="1587" max="1587" width="36.5703125" bestFit="1" customWidth="1"/>
    <col min="1588" max="1588" width="37.5703125" bestFit="1" customWidth="1"/>
    <col min="1589" max="1589" width="37.28515625" bestFit="1" customWidth="1"/>
    <col min="1590" max="1590" width="38.140625" bestFit="1" customWidth="1"/>
    <col min="1591" max="1591" width="37.42578125" bestFit="1" customWidth="1"/>
    <col min="1592" max="1592" width="37.28515625" bestFit="1" customWidth="1"/>
    <col min="1593" max="1593" width="38.140625" bestFit="1" customWidth="1"/>
    <col min="1594" max="1594" width="37.42578125" bestFit="1" customWidth="1"/>
    <col min="1595" max="1595" width="38.28515625" bestFit="1" customWidth="1"/>
    <col min="1596" max="1597" width="37" bestFit="1" customWidth="1"/>
    <col min="1598" max="1598" width="37.42578125" bestFit="1" customWidth="1"/>
    <col min="1599" max="1599" width="36.140625" bestFit="1" customWidth="1"/>
    <col min="1600" max="1600" width="36.85546875" bestFit="1" customWidth="1"/>
    <col min="1601" max="1601" width="35.5703125" bestFit="1" customWidth="1"/>
    <col min="1602" max="1602" width="36.85546875" bestFit="1" customWidth="1"/>
    <col min="1603" max="1603" width="36.42578125" bestFit="1" customWidth="1"/>
    <col min="1604" max="1604" width="36.7109375" bestFit="1" customWidth="1"/>
    <col min="1605" max="1605" width="35.85546875" bestFit="1" customWidth="1"/>
    <col min="1606" max="1606" width="37.5703125" bestFit="1" customWidth="1"/>
    <col min="1607" max="1607" width="37" bestFit="1" customWidth="1"/>
    <col min="1608" max="1608" width="37.42578125" bestFit="1" customWidth="1"/>
    <col min="1609" max="1609" width="37.7109375" bestFit="1" customWidth="1"/>
    <col min="1610" max="1610" width="36.140625" bestFit="1" customWidth="1"/>
    <col min="1611" max="1611" width="38.140625" bestFit="1" customWidth="1"/>
    <col min="1612" max="1612" width="37" bestFit="1" customWidth="1"/>
    <col min="1613" max="1613" width="35.42578125" bestFit="1" customWidth="1"/>
    <col min="1614" max="1614" width="37" bestFit="1" customWidth="1"/>
    <col min="1615" max="1615" width="36.5703125" bestFit="1" customWidth="1"/>
    <col min="1616" max="1616" width="37.28515625" bestFit="1" customWidth="1"/>
    <col min="1617" max="1617" width="36.5703125" bestFit="1" customWidth="1"/>
    <col min="1618" max="1618" width="36.42578125" bestFit="1" customWidth="1"/>
    <col min="1619" max="1619" width="37.42578125" bestFit="1" customWidth="1"/>
    <col min="1620" max="1620" width="36.7109375" bestFit="1" customWidth="1"/>
    <col min="1621" max="1621" width="36.5703125" bestFit="1" customWidth="1"/>
    <col min="1622" max="1623" width="36.85546875" bestFit="1" customWidth="1"/>
    <col min="1624" max="1624" width="37.140625" bestFit="1" customWidth="1"/>
    <col min="1625" max="1625" width="38.140625" bestFit="1" customWidth="1"/>
    <col min="1626" max="1626" width="36.85546875" bestFit="1" customWidth="1"/>
    <col min="1627" max="1627" width="37.42578125" bestFit="1" customWidth="1"/>
    <col min="1628" max="1628" width="37" bestFit="1" customWidth="1"/>
    <col min="1629" max="1629" width="36.5703125" bestFit="1" customWidth="1"/>
    <col min="1630" max="1630" width="37" bestFit="1" customWidth="1"/>
    <col min="1631" max="1632" width="37.140625" bestFit="1" customWidth="1"/>
    <col min="1633" max="1633" width="37.42578125" bestFit="1" customWidth="1"/>
    <col min="1634" max="1634" width="36.5703125" bestFit="1" customWidth="1"/>
    <col min="1635" max="1635" width="37.28515625" bestFit="1" customWidth="1"/>
    <col min="1636" max="1636" width="36.28515625" bestFit="1" customWidth="1"/>
    <col min="1637" max="1637" width="38.28515625" bestFit="1" customWidth="1"/>
    <col min="1638" max="1638" width="36.28515625" bestFit="1" customWidth="1"/>
    <col min="1639" max="1639" width="37" bestFit="1" customWidth="1"/>
    <col min="1640" max="1641" width="36.7109375" bestFit="1" customWidth="1"/>
    <col min="1642" max="1642" width="37" bestFit="1" customWidth="1"/>
    <col min="1643" max="1643" width="37.140625" bestFit="1" customWidth="1"/>
    <col min="1644" max="1644" width="37.7109375" bestFit="1" customWidth="1"/>
    <col min="1645" max="1645" width="37.140625" bestFit="1" customWidth="1"/>
    <col min="1646" max="1646" width="37" bestFit="1" customWidth="1"/>
    <col min="1647" max="1647" width="35.85546875" bestFit="1" customWidth="1"/>
    <col min="1648" max="1648" width="37.140625" bestFit="1" customWidth="1"/>
    <col min="1649" max="1649" width="37.7109375" bestFit="1" customWidth="1"/>
    <col min="1650" max="1650" width="37.140625" bestFit="1" customWidth="1"/>
    <col min="1651" max="1651" width="36.85546875" bestFit="1" customWidth="1"/>
    <col min="1652" max="1653" width="37.7109375" bestFit="1" customWidth="1"/>
    <col min="1654" max="1654" width="36.7109375" bestFit="1" customWidth="1"/>
    <col min="1655" max="1655" width="36.85546875" bestFit="1" customWidth="1"/>
    <col min="1656" max="1657" width="37" bestFit="1" customWidth="1"/>
    <col min="1658" max="1658" width="36.85546875" bestFit="1" customWidth="1"/>
    <col min="1659" max="1659" width="36.5703125" bestFit="1" customWidth="1"/>
    <col min="1660" max="1660" width="36.85546875" bestFit="1" customWidth="1"/>
    <col min="1661" max="1662" width="36.28515625" bestFit="1" customWidth="1"/>
    <col min="1663" max="1664" width="37" bestFit="1" customWidth="1"/>
    <col min="1665" max="1665" width="37.42578125" bestFit="1" customWidth="1"/>
    <col min="1666" max="1666" width="36.42578125" bestFit="1" customWidth="1"/>
    <col min="1667" max="1667" width="37.5703125" bestFit="1" customWidth="1"/>
    <col min="1668" max="1668" width="36.7109375" bestFit="1" customWidth="1"/>
    <col min="1669" max="1669" width="38" bestFit="1" customWidth="1"/>
    <col min="1670" max="1670" width="37" bestFit="1" customWidth="1"/>
    <col min="1671" max="1672" width="37.28515625" bestFit="1" customWidth="1"/>
    <col min="1673" max="1673" width="36.28515625" bestFit="1" customWidth="1"/>
    <col min="1674" max="1674" width="36.7109375" bestFit="1" customWidth="1"/>
    <col min="1675" max="1675" width="37" bestFit="1" customWidth="1"/>
    <col min="1676" max="1676" width="38" bestFit="1" customWidth="1"/>
    <col min="1677" max="1677" width="36.42578125" bestFit="1" customWidth="1"/>
    <col min="1678" max="1678" width="36.140625" bestFit="1" customWidth="1"/>
    <col min="1679" max="1679" width="36.7109375" bestFit="1" customWidth="1"/>
    <col min="1680" max="1680" width="37" bestFit="1" customWidth="1"/>
    <col min="1681" max="1681" width="37.28515625" bestFit="1" customWidth="1"/>
    <col min="1682" max="1682" width="37.42578125" bestFit="1" customWidth="1"/>
    <col min="1683" max="1684" width="37" bestFit="1" customWidth="1"/>
    <col min="1685" max="1686" width="37.140625" bestFit="1" customWidth="1"/>
    <col min="1687" max="1687" width="37.28515625" bestFit="1" customWidth="1"/>
    <col min="1688" max="1688" width="37" bestFit="1" customWidth="1"/>
    <col min="1689" max="1689" width="36.85546875" bestFit="1" customWidth="1"/>
    <col min="1690" max="1690" width="36.42578125" bestFit="1" customWidth="1"/>
    <col min="1691" max="1691" width="37" bestFit="1" customWidth="1"/>
    <col min="1692" max="1692" width="38.140625" bestFit="1" customWidth="1"/>
    <col min="1693" max="1693" width="37.140625" bestFit="1" customWidth="1"/>
    <col min="1694" max="1694" width="37.42578125" bestFit="1" customWidth="1"/>
    <col min="1695" max="1696" width="37.140625" bestFit="1" customWidth="1"/>
    <col min="1697" max="1698" width="36.85546875" bestFit="1" customWidth="1"/>
    <col min="1699" max="1699" width="36.5703125" bestFit="1" customWidth="1"/>
    <col min="1700" max="1700" width="35.85546875" bestFit="1" customWidth="1"/>
    <col min="1701" max="1701" width="36.5703125" bestFit="1" customWidth="1"/>
    <col min="1702" max="1702" width="37" bestFit="1" customWidth="1"/>
    <col min="1703" max="1703" width="37.140625" bestFit="1" customWidth="1"/>
    <col min="1704" max="1704" width="36.5703125" bestFit="1" customWidth="1"/>
    <col min="1705" max="1705" width="36.28515625" bestFit="1" customWidth="1"/>
    <col min="1706" max="1706" width="36.7109375" bestFit="1" customWidth="1"/>
    <col min="1707" max="1707" width="37.140625" bestFit="1" customWidth="1"/>
    <col min="1708" max="1708" width="36.85546875" bestFit="1" customWidth="1"/>
    <col min="1709" max="1709" width="36.7109375" bestFit="1" customWidth="1"/>
    <col min="1710" max="1710" width="36.42578125" bestFit="1" customWidth="1"/>
    <col min="1711" max="1711" width="37.5703125" bestFit="1" customWidth="1"/>
    <col min="1712" max="1712" width="37.28515625" bestFit="1" customWidth="1"/>
    <col min="1713" max="1713" width="37" bestFit="1" customWidth="1"/>
    <col min="1714" max="1714" width="36.5703125" bestFit="1" customWidth="1"/>
    <col min="1715" max="1715" width="36.7109375" bestFit="1" customWidth="1"/>
    <col min="1716" max="1717" width="36.5703125" bestFit="1" customWidth="1"/>
    <col min="1718" max="1718" width="36.28515625" bestFit="1" customWidth="1"/>
    <col min="1719" max="1719" width="37" bestFit="1" customWidth="1"/>
    <col min="1720" max="1720" width="36.7109375" bestFit="1" customWidth="1"/>
    <col min="1721" max="1721" width="36.85546875" bestFit="1" customWidth="1"/>
    <col min="1722" max="1722" width="36.5703125" bestFit="1" customWidth="1"/>
    <col min="1723" max="1723" width="36.85546875" bestFit="1" customWidth="1"/>
    <col min="1724" max="1724" width="37" bestFit="1" customWidth="1"/>
    <col min="1725" max="1725" width="37.28515625" bestFit="1" customWidth="1"/>
    <col min="1726" max="1727" width="36.85546875" bestFit="1" customWidth="1"/>
    <col min="1728" max="1729" width="37.140625" bestFit="1" customWidth="1"/>
    <col min="1730" max="1730" width="36.85546875" bestFit="1" customWidth="1"/>
    <col min="1731" max="1731" width="37.28515625" bestFit="1" customWidth="1"/>
    <col min="1732" max="1733" width="37" bestFit="1" customWidth="1"/>
    <col min="1734" max="1734" width="37.140625" bestFit="1" customWidth="1"/>
    <col min="1735" max="1735" width="36.85546875" bestFit="1" customWidth="1"/>
    <col min="1736" max="1736" width="36" bestFit="1" customWidth="1"/>
    <col min="1737" max="1737" width="37.42578125" bestFit="1" customWidth="1"/>
    <col min="1738" max="1738" width="36.85546875" bestFit="1" customWidth="1"/>
    <col min="1739" max="1739" width="37.7109375" bestFit="1" customWidth="1"/>
    <col min="1740" max="1740" width="36.42578125" bestFit="1" customWidth="1"/>
    <col min="1741" max="1741" width="37.7109375" bestFit="1" customWidth="1"/>
    <col min="1742" max="1742" width="37.42578125" bestFit="1" customWidth="1"/>
    <col min="1743" max="1744" width="36.42578125" bestFit="1" customWidth="1"/>
    <col min="1745" max="1746" width="37.42578125" bestFit="1" customWidth="1"/>
    <col min="1747" max="1747" width="36.7109375" bestFit="1" customWidth="1"/>
    <col min="1748" max="1748" width="37.140625" bestFit="1" customWidth="1"/>
    <col min="1749" max="1749" width="36.42578125" bestFit="1" customWidth="1"/>
    <col min="1750" max="1750" width="37.28515625" bestFit="1" customWidth="1"/>
    <col min="1751" max="1751" width="37.140625" bestFit="1" customWidth="1"/>
    <col min="1752" max="1752" width="36.7109375" bestFit="1" customWidth="1"/>
    <col min="1753" max="1753" width="37.42578125" bestFit="1" customWidth="1"/>
    <col min="1754" max="1754" width="36.85546875" bestFit="1" customWidth="1"/>
    <col min="1755" max="1755" width="37.42578125" bestFit="1" customWidth="1"/>
    <col min="1756" max="1756" width="36.7109375" bestFit="1" customWidth="1"/>
    <col min="1757" max="1757" width="37.140625" bestFit="1" customWidth="1"/>
    <col min="1758" max="1758" width="35.85546875" bestFit="1" customWidth="1"/>
    <col min="1759" max="1759" width="36.85546875" bestFit="1" customWidth="1"/>
    <col min="1760" max="1760" width="37.140625" bestFit="1" customWidth="1"/>
    <col min="1761" max="1761" width="36.85546875" bestFit="1" customWidth="1"/>
    <col min="1762" max="1762" width="37.28515625" bestFit="1" customWidth="1"/>
    <col min="1763" max="1763" width="37.42578125" bestFit="1" customWidth="1"/>
    <col min="1764" max="1764" width="36.7109375" bestFit="1" customWidth="1"/>
    <col min="1765" max="1765" width="36.85546875" bestFit="1" customWidth="1"/>
    <col min="1766" max="1766" width="37.28515625" bestFit="1" customWidth="1"/>
    <col min="1767" max="1767" width="37.5703125" bestFit="1" customWidth="1"/>
    <col min="1768" max="1768" width="36.42578125" bestFit="1" customWidth="1"/>
    <col min="1769" max="1769" width="37.42578125" bestFit="1" customWidth="1"/>
    <col min="1770" max="1770" width="36.85546875" bestFit="1" customWidth="1"/>
    <col min="1771" max="1771" width="36.140625" bestFit="1" customWidth="1"/>
    <col min="1772" max="1772" width="37.28515625" bestFit="1" customWidth="1"/>
    <col min="1773" max="1773" width="37.7109375" bestFit="1" customWidth="1"/>
    <col min="1774" max="1774" width="36" bestFit="1" customWidth="1"/>
    <col min="1775" max="1775" width="37.28515625" bestFit="1" customWidth="1"/>
    <col min="1776" max="1776" width="37.5703125" bestFit="1" customWidth="1"/>
    <col min="1777" max="1777" width="38" bestFit="1" customWidth="1"/>
    <col min="1778" max="1779" width="36.7109375" bestFit="1" customWidth="1"/>
    <col min="1780" max="1780" width="36.42578125" bestFit="1" customWidth="1"/>
    <col min="1781" max="1781" width="36.85546875" bestFit="1" customWidth="1"/>
    <col min="1782" max="1782" width="37.28515625" bestFit="1" customWidth="1"/>
    <col min="1783" max="1784" width="36.85546875" bestFit="1" customWidth="1"/>
    <col min="1785" max="1785" width="37.28515625" bestFit="1" customWidth="1"/>
    <col min="1786" max="1786" width="36.7109375" bestFit="1" customWidth="1"/>
    <col min="1787" max="1787" width="36.85546875" bestFit="1" customWidth="1"/>
    <col min="1788" max="1788" width="36.7109375" bestFit="1" customWidth="1"/>
    <col min="1789" max="1789" width="37" bestFit="1" customWidth="1"/>
    <col min="1790" max="1790" width="38" bestFit="1" customWidth="1"/>
    <col min="1791" max="1791" width="37" bestFit="1" customWidth="1"/>
    <col min="1792" max="1792" width="36.5703125" bestFit="1" customWidth="1"/>
    <col min="1793" max="1793" width="37" bestFit="1" customWidth="1"/>
    <col min="1794" max="1794" width="38" bestFit="1" customWidth="1"/>
    <col min="1795" max="1795" width="37.5703125" bestFit="1" customWidth="1"/>
    <col min="1796" max="1796" width="37.28515625" bestFit="1" customWidth="1"/>
    <col min="1797" max="1797" width="36.7109375" bestFit="1" customWidth="1"/>
    <col min="1798" max="1798" width="36.5703125" bestFit="1" customWidth="1"/>
    <col min="1799" max="1799" width="37.42578125" bestFit="1" customWidth="1"/>
    <col min="1800" max="1800" width="37" bestFit="1" customWidth="1"/>
    <col min="1801" max="1801" width="36.85546875" bestFit="1" customWidth="1"/>
    <col min="1802" max="1802" width="37.5703125" bestFit="1" customWidth="1"/>
    <col min="1803" max="1803" width="37.28515625" bestFit="1" customWidth="1"/>
    <col min="1804" max="1804" width="37" bestFit="1" customWidth="1"/>
    <col min="1805" max="1805" width="37.140625" bestFit="1" customWidth="1"/>
    <col min="1806" max="1806" width="37" bestFit="1" customWidth="1"/>
    <col min="1807" max="1808" width="36.28515625" bestFit="1" customWidth="1"/>
    <col min="1809" max="1809" width="36.42578125" bestFit="1" customWidth="1"/>
    <col min="1810" max="1810" width="36.7109375" bestFit="1" customWidth="1"/>
    <col min="1811" max="1812" width="37.140625" bestFit="1" customWidth="1"/>
    <col min="1813" max="1813" width="36.85546875" bestFit="1" customWidth="1"/>
    <col min="1814" max="1814" width="36.140625" bestFit="1" customWidth="1"/>
    <col min="1815" max="1815" width="36.7109375" bestFit="1" customWidth="1"/>
    <col min="1816" max="1816" width="36.140625" bestFit="1" customWidth="1"/>
    <col min="1817" max="1817" width="37.42578125" bestFit="1" customWidth="1"/>
    <col min="1818" max="1818" width="37.5703125" bestFit="1" customWidth="1"/>
    <col min="1819" max="1820" width="37" bestFit="1" customWidth="1"/>
    <col min="1821" max="1821" width="37.42578125" bestFit="1" customWidth="1"/>
    <col min="1822" max="1822" width="36.42578125" bestFit="1" customWidth="1"/>
    <col min="1823" max="1823" width="37.42578125" bestFit="1" customWidth="1"/>
    <col min="1824" max="1824" width="36.7109375" bestFit="1" customWidth="1"/>
    <col min="1825" max="1825" width="37.28515625" bestFit="1" customWidth="1"/>
    <col min="1826" max="1826" width="36.7109375" bestFit="1" customWidth="1"/>
    <col min="1827" max="1828" width="37.28515625" bestFit="1" customWidth="1"/>
    <col min="1829" max="1830" width="37.140625" bestFit="1" customWidth="1"/>
    <col min="1831" max="1831" width="36.5703125" bestFit="1" customWidth="1"/>
    <col min="1832" max="1832" width="35.5703125" bestFit="1" customWidth="1"/>
    <col min="1833" max="1833" width="37" bestFit="1" customWidth="1"/>
    <col min="1834" max="1834" width="37.28515625" bestFit="1" customWidth="1"/>
    <col min="1835" max="1835" width="38" bestFit="1" customWidth="1"/>
    <col min="1836" max="1836" width="37.28515625" bestFit="1" customWidth="1"/>
    <col min="1837" max="1837" width="37" bestFit="1" customWidth="1"/>
    <col min="1838" max="1838" width="37.140625" bestFit="1" customWidth="1"/>
    <col min="1839" max="1839" width="36.85546875" bestFit="1" customWidth="1"/>
    <col min="1840" max="1840" width="36.7109375" bestFit="1" customWidth="1"/>
    <col min="1841" max="1841" width="37.42578125" bestFit="1" customWidth="1"/>
    <col min="1842" max="1842" width="36.42578125" bestFit="1" customWidth="1"/>
    <col min="1843" max="1843" width="37.5703125" bestFit="1" customWidth="1"/>
    <col min="1844" max="1844" width="37.140625" bestFit="1" customWidth="1"/>
    <col min="1845" max="1845" width="37.42578125" bestFit="1" customWidth="1"/>
    <col min="1846" max="1847" width="37.7109375" bestFit="1" customWidth="1"/>
    <col min="1848" max="1848" width="37.28515625" bestFit="1" customWidth="1"/>
    <col min="1849" max="1849" width="36.5703125" bestFit="1" customWidth="1"/>
    <col min="1850" max="1850" width="36" bestFit="1" customWidth="1"/>
    <col min="1851" max="1851" width="36.7109375" bestFit="1" customWidth="1"/>
    <col min="1852" max="1852" width="36.28515625" bestFit="1" customWidth="1"/>
    <col min="1853" max="1853" width="37.42578125" bestFit="1" customWidth="1"/>
    <col min="1854" max="1854" width="36.7109375" bestFit="1" customWidth="1"/>
    <col min="1855" max="1855" width="37.5703125" bestFit="1" customWidth="1"/>
    <col min="1856" max="1856" width="37" bestFit="1" customWidth="1"/>
    <col min="1857" max="1857" width="36.85546875" bestFit="1" customWidth="1"/>
    <col min="1858" max="1858" width="36.42578125" bestFit="1" customWidth="1"/>
    <col min="1859" max="1859" width="36.28515625" bestFit="1" customWidth="1"/>
    <col min="1860" max="1860" width="35.42578125" bestFit="1" customWidth="1"/>
    <col min="1861" max="1861" width="37.42578125" bestFit="1" customWidth="1"/>
    <col min="1862" max="1862" width="36.5703125" bestFit="1" customWidth="1"/>
    <col min="1863" max="1863" width="35.7109375" bestFit="1" customWidth="1"/>
    <col min="1864" max="1864" width="37.140625" bestFit="1" customWidth="1"/>
    <col min="1865" max="1865" width="37.28515625" bestFit="1" customWidth="1"/>
    <col min="1866" max="1866" width="37" bestFit="1" customWidth="1"/>
    <col min="1867" max="1867" width="35.85546875" bestFit="1" customWidth="1"/>
    <col min="1868" max="1868" width="37" bestFit="1" customWidth="1"/>
    <col min="1869" max="1869" width="37.140625" bestFit="1" customWidth="1"/>
    <col min="1870" max="1870" width="37.28515625" bestFit="1" customWidth="1"/>
    <col min="1871" max="1871" width="36.7109375" bestFit="1" customWidth="1"/>
    <col min="1872" max="1872" width="36.85546875" bestFit="1" customWidth="1"/>
    <col min="1873" max="1873" width="37.42578125" bestFit="1" customWidth="1"/>
    <col min="1874" max="1874" width="37" bestFit="1" customWidth="1"/>
    <col min="1875" max="1875" width="37.28515625" bestFit="1" customWidth="1"/>
    <col min="1876" max="1876" width="36.5703125" bestFit="1" customWidth="1"/>
    <col min="1877" max="1878" width="36.7109375" bestFit="1" customWidth="1"/>
    <col min="1879" max="1879" width="37.42578125" bestFit="1" customWidth="1"/>
    <col min="1880" max="1880" width="36.140625" bestFit="1" customWidth="1"/>
    <col min="1881" max="1881" width="37.5703125" bestFit="1" customWidth="1"/>
    <col min="1882" max="1882" width="37.7109375" bestFit="1" customWidth="1"/>
    <col min="1883" max="1883" width="36.140625" bestFit="1" customWidth="1"/>
    <col min="1884" max="1885" width="37.28515625" bestFit="1" customWidth="1"/>
    <col min="1886" max="1886" width="37.42578125" bestFit="1" customWidth="1"/>
    <col min="1887" max="1887" width="36.5703125" bestFit="1" customWidth="1"/>
    <col min="1888" max="1888" width="37.140625" bestFit="1" customWidth="1"/>
    <col min="1889" max="1889" width="36.85546875" bestFit="1" customWidth="1"/>
    <col min="1890" max="1890" width="36.7109375" bestFit="1" customWidth="1"/>
    <col min="1891" max="1891" width="36.140625" bestFit="1" customWidth="1"/>
    <col min="1892" max="1892" width="36.5703125" bestFit="1" customWidth="1"/>
    <col min="1893" max="1893" width="37.42578125" bestFit="1" customWidth="1"/>
    <col min="1894" max="1894" width="37.140625" bestFit="1" customWidth="1"/>
    <col min="1895" max="1895" width="36.5703125" bestFit="1" customWidth="1"/>
    <col min="1896" max="1897" width="37.42578125" bestFit="1" customWidth="1"/>
    <col min="1898" max="1898" width="37.140625" bestFit="1" customWidth="1"/>
    <col min="1899" max="1899" width="37.28515625" bestFit="1" customWidth="1"/>
    <col min="1900" max="1900" width="37.5703125" bestFit="1" customWidth="1"/>
    <col min="1901" max="1901" width="37.7109375" bestFit="1" customWidth="1"/>
    <col min="1902" max="1903" width="37" bestFit="1" customWidth="1"/>
    <col min="1904" max="1904" width="37.42578125" bestFit="1" customWidth="1"/>
    <col min="1905" max="1905" width="36.42578125" bestFit="1" customWidth="1"/>
    <col min="1906" max="1906" width="36.140625" bestFit="1" customWidth="1"/>
    <col min="1907" max="1907" width="38" bestFit="1" customWidth="1"/>
    <col min="1908" max="1908" width="36.42578125" bestFit="1" customWidth="1"/>
    <col min="1909" max="1909" width="35.7109375" bestFit="1" customWidth="1"/>
    <col min="1910" max="1910" width="37.5703125" bestFit="1" customWidth="1"/>
    <col min="1911" max="1911" width="37.28515625" bestFit="1" customWidth="1"/>
    <col min="1912" max="1912" width="37.7109375" bestFit="1" customWidth="1"/>
    <col min="1913" max="1913" width="37.5703125" bestFit="1" customWidth="1"/>
    <col min="1914" max="1914" width="37" bestFit="1" customWidth="1"/>
    <col min="1915" max="1915" width="36.85546875" bestFit="1" customWidth="1"/>
    <col min="1916" max="1916" width="37" bestFit="1" customWidth="1"/>
    <col min="1917" max="1917" width="36.42578125" bestFit="1" customWidth="1"/>
    <col min="1918" max="1918" width="37.7109375" bestFit="1" customWidth="1"/>
    <col min="1919" max="1919" width="37.140625" bestFit="1" customWidth="1"/>
    <col min="1920" max="1920" width="37.5703125" bestFit="1" customWidth="1"/>
    <col min="1921" max="1922" width="37" bestFit="1" customWidth="1"/>
    <col min="1923" max="1923" width="37.140625" bestFit="1" customWidth="1"/>
    <col min="1924" max="1924" width="36.28515625" bestFit="1" customWidth="1"/>
    <col min="1925" max="1925" width="38.28515625" bestFit="1" customWidth="1"/>
    <col min="1926" max="1926" width="38" bestFit="1" customWidth="1"/>
    <col min="1927" max="1928" width="37" bestFit="1" customWidth="1"/>
    <col min="1929" max="1929" width="37.28515625" bestFit="1" customWidth="1"/>
    <col min="1930" max="1930" width="36.5703125" bestFit="1" customWidth="1"/>
    <col min="1931" max="1931" width="36.140625" bestFit="1" customWidth="1"/>
    <col min="1932" max="1932" width="36.5703125" bestFit="1" customWidth="1"/>
    <col min="1933" max="1933" width="37.28515625" bestFit="1" customWidth="1"/>
    <col min="1934" max="1934" width="37" bestFit="1" customWidth="1"/>
    <col min="1935" max="1935" width="36.85546875" bestFit="1" customWidth="1"/>
    <col min="1936" max="1937" width="38" bestFit="1" customWidth="1"/>
    <col min="1938" max="1939" width="37.7109375" bestFit="1" customWidth="1"/>
    <col min="1940" max="1940" width="36.42578125" bestFit="1" customWidth="1"/>
    <col min="1941" max="1941" width="37.42578125" bestFit="1" customWidth="1"/>
    <col min="1942" max="1942" width="37.28515625" bestFit="1" customWidth="1"/>
    <col min="1943" max="1943" width="37.5703125" bestFit="1" customWidth="1"/>
    <col min="1944" max="1944" width="37.28515625" bestFit="1" customWidth="1"/>
    <col min="1945" max="1945" width="37" bestFit="1" customWidth="1"/>
    <col min="1946" max="1946" width="37.28515625" bestFit="1" customWidth="1"/>
    <col min="1947" max="1947" width="38" bestFit="1" customWidth="1"/>
    <col min="1948" max="1948" width="36.7109375" bestFit="1" customWidth="1"/>
    <col min="1949" max="1949" width="37" bestFit="1" customWidth="1"/>
    <col min="1950" max="1950" width="35.85546875" bestFit="1" customWidth="1"/>
    <col min="1951" max="1951" width="38" bestFit="1" customWidth="1"/>
    <col min="1952" max="1952" width="36.85546875" bestFit="1" customWidth="1"/>
    <col min="1953" max="1954" width="36.7109375" bestFit="1" customWidth="1"/>
    <col min="1955" max="1955" width="37.7109375" bestFit="1" customWidth="1"/>
    <col min="1956" max="1956" width="37" bestFit="1" customWidth="1"/>
    <col min="1957" max="1957" width="37.28515625" bestFit="1" customWidth="1"/>
    <col min="1958" max="1958" width="36.85546875" bestFit="1" customWidth="1"/>
    <col min="1959" max="1959" width="36.140625" bestFit="1" customWidth="1"/>
    <col min="1960" max="1960" width="35.85546875" bestFit="1" customWidth="1"/>
    <col min="1961" max="1961" width="38" bestFit="1" customWidth="1"/>
    <col min="1962" max="1963" width="36.85546875" bestFit="1" customWidth="1"/>
    <col min="1964" max="1964" width="36.5703125" bestFit="1" customWidth="1"/>
    <col min="1965" max="1965" width="37.42578125" bestFit="1" customWidth="1"/>
    <col min="1966" max="1966" width="36" bestFit="1" customWidth="1"/>
    <col min="1967" max="1967" width="36.7109375" bestFit="1" customWidth="1"/>
    <col min="1968" max="1968" width="37.140625" bestFit="1" customWidth="1"/>
    <col min="1969" max="1969" width="36.5703125" bestFit="1" customWidth="1"/>
    <col min="1970" max="1970" width="36.7109375" bestFit="1" customWidth="1"/>
    <col min="1971" max="1971" width="37" bestFit="1" customWidth="1"/>
    <col min="1972" max="1972" width="37.140625" bestFit="1" customWidth="1"/>
    <col min="1973" max="1974" width="37.42578125" bestFit="1" customWidth="1"/>
    <col min="1975" max="1975" width="37.5703125" bestFit="1" customWidth="1"/>
    <col min="1976" max="1976" width="37" bestFit="1" customWidth="1"/>
    <col min="1977" max="1977" width="37.7109375" bestFit="1" customWidth="1"/>
    <col min="1978" max="1978" width="37" bestFit="1" customWidth="1"/>
    <col min="1979" max="1979" width="36.28515625" bestFit="1" customWidth="1"/>
    <col min="1980" max="1980" width="37.5703125" bestFit="1" customWidth="1"/>
    <col min="1981" max="1981" width="37.28515625" bestFit="1" customWidth="1"/>
    <col min="1982" max="1982" width="36.42578125" bestFit="1" customWidth="1"/>
    <col min="1983" max="1983" width="37.140625" bestFit="1" customWidth="1"/>
    <col min="1984" max="1984" width="37.5703125" bestFit="1" customWidth="1"/>
    <col min="1985" max="1985" width="37.7109375" bestFit="1" customWidth="1"/>
    <col min="1986" max="1986" width="37.5703125" bestFit="1" customWidth="1"/>
    <col min="1987" max="1987" width="36.85546875" bestFit="1" customWidth="1"/>
    <col min="1988" max="1988" width="37.140625" bestFit="1" customWidth="1"/>
    <col min="1989" max="1989" width="37" bestFit="1" customWidth="1"/>
    <col min="1990" max="1990" width="36.42578125" bestFit="1" customWidth="1"/>
    <col min="1991" max="1991" width="36.85546875" bestFit="1" customWidth="1"/>
    <col min="1992" max="1992" width="37.42578125" bestFit="1" customWidth="1"/>
    <col min="1993" max="1993" width="36.5703125" bestFit="1" customWidth="1"/>
    <col min="1994" max="1994" width="36.85546875" bestFit="1" customWidth="1"/>
    <col min="1995" max="1995" width="37.42578125" bestFit="1" customWidth="1"/>
    <col min="1996" max="1996" width="37.7109375" bestFit="1" customWidth="1"/>
    <col min="1997" max="1997" width="37" bestFit="1" customWidth="1"/>
    <col min="1998" max="1998" width="37.28515625" bestFit="1" customWidth="1"/>
    <col min="1999" max="1999" width="36.85546875" bestFit="1" customWidth="1"/>
    <col min="2000" max="2000" width="37.5703125" bestFit="1" customWidth="1"/>
    <col min="2001" max="2001" width="36.85546875" bestFit="1" customWidth="1"/>
    <col min="2002" max="2002" width="36.5703125" bestFit="1" customWidth="1"/>
    <col min="2003" max="2003" width="35.42578125" bestFit="1" customWidth="1"/>
    <col min="2004" max="2004" width="37.7109375" bestFit="1" customWidth="1"/>
    <col min="2005" max="2005" width="36.140625" bestFit="1" customWidth="1"/>
    <col min="2006" max="2006" width="37.28515625" bestFit="1" customWidth="1"/>
    <col min="2007" max="2007" width="36.5703125" bestFit="1" customWidth="1"/>
    <col min="2008" max="2008" width="37.28515625" bestFit="1" customWidth="1"/>
    <col min="2009" max="2009" width="37.42578125" bestFit="1" customWidth="1"/>
    <col min="2010" max="2012" width="37" bestFit="1" customWidth="1"/>
    <col min="2013" max="2013" width="36.85546875" bestFit="1" customWidth="1"/>
    <col min="2014" max="2014" width="37.28515625" bestFit="1" customWidth="1"/>
    <col min="2015" max="2015" width="36.7109375" bestFit="1" customWidth="1"/>
    <col min="2016" max="2016" width="37.5703125" bestFit="1" customWidth="1"/>
    <col min="2017" max="2017" width="37" bestFit="1" customWidth="1"/>
    <col min="2018" max="2018" width="37.5703125" bestFit="1" customWidth="1"/>
    <col min="2019" max="2019" width="37.28515625" bestFit="1" customWidth="1"/>
    <col min="2020" max="2020" width="36.85546875" bestFit="1" customWidth="1"/>
    <col min="2021" max="2021" width="37.7109375" bestFit="1" customWidth="1"/>
    <col min="2022" max="2022" width="36.85546875" bestFit="1" customWidth="1"/>
    <col min="2023" max="2023" width="37.140625" bestFit="1" customWidth="1"/>
    <col min="2024" max="2024" width="37.28515625" bestFit="1" customWidth="1"/>
    <col min="2025" max="2025" width="37.140625" bestFit="1" customWidth="1"/>
    <col min="2026" max="2026" width="35.85546875" bestFit="1" customWidth="1"/>
    <col min="2027" max="2027" width="37.7109375" bestFit="1" customWidth="1"/>
    <col min="2028" max="2028" width="37.42578125" bestFit="1" customWidth="1"/>
    <col min="2029" max="2029" width="37.7109375" bestFit="1" customWidth="1"/>
    <col min="2030" max="2030" width="37" bestFit="1" customWidth="1"/>
    <col min="2031" max="2031" width="37.28515625" bestFit="1" customWidth="1"/>
    <col min="2032" max="2032" width="37.7109375" bestFit="1" customWidth="1"/>
    <col min="2033" max="2033" width="36.42578125" bestFit="1" customWidth="1"/>
    <col min="2034" max="2034" width="37.7109375" bestFit="1" customWidth="1"/>
    <col min="2035" max="2035" width="36.140625" bestFit="1" customWidth="1"/>
    <col min="2036" max="2036" width="38" bestFit="1" customWidth="1"/>
    <col min="2037" max="2037" width="37.28515625" bestFit="1" customWidth="1"/>
    <col min="2038" max="2038" width="36.85546875" bestFit="1" customWidth="1"/>
    <col min="2039" max="2039" width="37.140625" bestFit="1" customWidth="1"/>
    <col min="2040" max="2040" width="37.42578125" bestFit="1" customWidth="1"/>
    <col min="2041" max="2041" width="37.28515625" bestFit="1" customWidth="1"/>
    <col min="2042" max="2042" width="37.5703125" bestFit="1" customWidth="1"/>
    <col min="2043" max="2043" width="36.7109375" bestFit="1" customWidth="1"/>
    <col min="2044" max="2044" width="36.85546875" bestFit="1" customWidth="1"/>
    <col min="2045" max="2045" width="37.28515625" bestFit="1" customWidth="1"/>
    <col min="2046" max="2046" width="37.5703125" bestFit="1" customWidth="1"/>
    <col min="2047" max="2047" width="36.42578125" bestFit="1" customWidth="1"/>
    <col min="2048" max="2048" width="37" bestFit="1" customWidth="1"/>
    <col min="2049" max="2049" width="37.5703125" bestFit="1" customWidth="1"/>
    <col min="2050" max="2050" width="36.28515625" bestFit="1" customWidth="1"/>
    <col min="2051" max="2051" width="36.5703125" bestFit="1" customWidth="1"/>
    <col min="2052" max="2052" width="38" bestFit="1" customWidth="1"/>
    <col min="2053" max="2053" width="36.5703125" bestFit="1" customWidth="1"/>
    <col min="2054" max="2054" width="37.140625" bestFit="1" customWidth="1"/>
    <col min="2055" max="2055" width="37" bestFit="1" customWidth="1"/>
    <col min="2056" max="2057" width="36.85546875" bestFit="1" customWidth="1"/>
    <col min="2058" max="2058" width="36.140625" bestFit="1" customWidth="1"/>
    <col min="2059" max="2059" width="36.42578125" bestFit="1" customWidth="1"/>
    <col min="2060" max="2060" width="37.140625" bestFit="1" customWidth="1"/>
    <col min="2061" max="2061" width="38.140625" bestFit="1" customWidth="1"/>
    <col min="2062" max="2062" width="36.42578125" bestFit="1" customWidth="1"/>
    <col min="2063" max="2063" width="36.7109375" bestFit="1" customWidth="1"/>
    <col min="2064" max="2064" width="37.28515625" bestFit="1" customWidth="1"/>
    <col min="2065" max="2065" width="37" bestFit="1" customWidth="1"/>
    <col min="2066" max="2067" width="36.7109375" bestFit="1" customWidth="1"/>
    <col min="2068" max="2068" width="36.42578125" bestFit="1" customWidth="1"/>
    <col min="2069" max="2069" width="36.5703125" bestFit="1" customWidth="1"/>
    <col min="2070" max="2070" width="36.85546875" bestFit="1" customWidth="1"/>
    <col min="2071" max="2071" width="37" bestFit="1" customWidth="1"/>
    <col min="2072" max="2072" width="37.42578125" bestFit="1" customWidth="1"/>
    <col min="2073" max="2073" width="36.5703125" bestFit="1" customWidth="1"/>
    <col min="2074" max="2074" width="37.28515625" bestFit="1" customWidth="1"/>
    <col min="2075" max="2075" width="37" bestFit="1" customWidth="1"/>
    <col min="2076" max="2076" width="38.140625" bestFit="1" customWidth="1"/>
    <col min="2077" max="2077" width="37.7109375" bestFit="1" customWidth="1"/>
    <col min="2078" max="2078" width="37.140625" bestFit="1" customWidth="1"/>
    <col min="2079" max="2079" width="37.42578125" bestFit="1" customWidth="1"/>
    <col min="2080" max="2080" width="36.28515625" bestFit="1" customWidth="1"/>
    <col min="2081" max="2081" width="37.140625" bestFit="1" customWidth="1"/>
    <col min="2082" max="2082" width="37.7109375" bestFit="1" customWidth="1"/>
    <col min="2083" max="2083" width="37.140625" bestFit="1" customWidth="1"/>
    <col min="2084" max="2084" width="37.7109375" bestFit="1" customWidth="1"/>
    <col min="2085" max="2085" width="38.140625" bestFit="1" customWidth="1"/>
    <col min="2086" max="2086" width="38.28515625" bestFit="1" customWidth="1"/>
    <col min="2087" max="2087" width="37.7109375" bestFit="1" customWidth="1"/>
    <col min="2088" max="2088" width="37.140625" bestFit="1" customWidth="1"/>
    <col min="2089" max="2089" width="36.85546875" bestFit="1" customWidth="1"/>
    <col min="2090" max="2090" width="37.5703125" bestFit="1" customWidth="1"/>
    <col min="2091" max="2091" width="36.42578125" bestFit="1" customWidth="1"/>
    <col min="2092" max="2092" width="37.140625" bestFit="1" customWidth="1"/>
    <col min="2093" max="2093" width="37" bestFit="1" customWidth="1"/>
    <col min="2094" max="2094" width="36.42578125" bestFit="1" customWidth="1"/>
    <col min="2095" max="2095" width="37.7109375" bestFit="1" customWidth="1"/>
    <col min="2096" max="2096" width="37.42578125" bestFit="1" customWidth="1"/>
    <col min="2097" max="2097" width="37.140625" bestFit="1" customWidth="1"/>
    <col min="2098" max="2098" width="37.7109375" bestFit="1" customWidth="1"/>
    <col min="2099" max="2099" width="38" bestFit="1" customWidth="1"/>
    <col min="2100" max="2100" width="35.85546875" bestFit="1" customWidth="1"/>
    <col min="2101" max="2101" width="36.5703125" bestFit="1" customWidth="1"/>
    <col min="2102" max="2102" width="36" bestFit="1" customWidth="1"/>
    <col min="2103" max="2103" width="37.5703125" bestFit="1" customWidth="1"/>
    <col min="2104" max="2104" width="37.140625" bestFit="1" customWidth="1"/>
    <col min="2105" max="2105" width="38.28515625" bestFit="1" customWidth="1"/>
    <col min="2106" max="2106" width="37.5703125" bestFit="1" customWidth="1"/>
    <col min="2107" max="2107" width="37.42578125" bestFit="1" customWidth="1"/>
    <col min="2108" max="2108" width="37.7109375" bestFit="1" customWidth="1"/>
    <col min="2109" max="2109" width="36.85546875" bestFit="1" customWidth="1"/>
    <col min="2110" max="2110" width="37" bestFit="1" customWidth="1"/>
    <col min="2111" max="2111" width="37.5703125" bestFit="1" customWidth="1"/>
    <col min="2112" max="2112" width="37.28515625" bestFit="1" customWidth="1"/>
    <col min="2113" max="2113" width="37" bestFit="1" customWidth="1"/>
    <col min="2114" max="2114" width="37.42578125" bestFit="1" customWidth="1"/>
    <col min="2115" max="2115" width="37.5703125" bestFit="1" customWidth="1"/>
    <col min="2116" max="2116" width="36.7109375" bestFit="1" customWidth="1"/>
    <col min="2117" max="2118" width="36.5703125" bestFit="1" customWidth="1"/>
    <col min="2119" max="2119" width="37.28515625" bestFit="1" customWidth="1"/>
    <col min="2120" max="2120" width="36.85546875" bestFit="1" customWidth="1"/>
    <col min="2121" max="2121" width="36.140625" bestFit="1" customWidth="1"/>
    <col min="2122" max="2122" width="37.28515625" bestFit="1" customWidth="1"/>
    <col min="2123" max="2123" width="37" bestFit="1" customWidth="1"/>
    <col min="2124" max="2124" width="37.140625" bestFit="1" customWidth="1"/>
    <col min="2125" max="2125" width="37" bestFit="1" customWidth="1"/>
    <col min="2126" max="2126" width="36.7109375" bestFit="1" customWidth="1"/>
    <col min="2127" max="2127" width="37.5703125" bestFit="1" customWidth="1"/>
    <col min="2128" max="2128" width="37.140625" bestFit="1" customWidth="1"/>
    <col min="2129" max="2129" width="36.28515625" bestFit="1" customWidth="1"/>
    <col min="2130" max="2130" width="36.85546875" bestFit="1" customWidth="1"/>
    <col min="2131" max="2131" width="37.5703125" bestFit="1" customWidth="1"/>
    <col min="2132" max="2132" width="36.42578125" bestFit="1" customWidth="1"/>
    <col min="2133" max="2133" width="38.140625" bestFit="1" customWidth="1"/>
    <col min="2134" max="2134" width="36.7109375" bestFit="1" customWidth="1"/>
    <col min="2135" max="2135" width="36.85546875" bestFit="1" customWidth="1"/>
    <col min="2136" max="2136" width="37.140625" bestFit="1" customWidth="1"/>
    <col min="2137" max="2137" width="37" bestFit="1" customWidth="1"/>
    <col min="2138" max="2138" width="36.85546875" bestFit="1" customWidth="1"/>
    <col min="2139" max="2139" width="36.7109375" bestFit="1" customWidth="1"/>
    <col min="2140" max="2141" width="37.5703125" bestFit="1" customWidth="1"/>
    <col min="2142" max="2142" width="36.28515625" bestFit="1" customWidth="1"/>
    <col min="2143" max="2143" width="36.42578125" bestFit="1" customWidth="1"/>
    <col min="2144" max="2144" width="37.28515625" bestFit="1" customWidth="1"/>
    <col min="2145" max="2146" width="37" bestFit="1" customWidth="1"/>
    <col min="2147" max="2147" width="37.7109375" bestFit="1" customWidth="1"/>
    <col min="2148" max="2148" width="36.5703125" bestFit="1" customWidth="1"/>
    <col min="2149" max="2149" width="37.42578125" bestFit="1" customWidth="1"/>
    <col min="2150" max="2150" width="37.5703125" bestFit="1" customWidth="1"/>
    <col min="2151" max="2151" width="37.42578125" bestFit="1" customWidth="1"/>
    <col min="2152" max="2152" width="37.140625" bestFit="1" customWidth="1"/>
    <col min="2153" max="2153" width="37" bestFit="1" customWidth="1"/>
    <col min="2154" max="2154" width="36.28515625" bestFit="1" customWidth="1"/>
    <col min="2155" max="2155" width="36.5703125" bestFit="1" customWidth="1"/>
    <col min="2156" max="2156" width="37.5703125" bestFit="1" customWidth="1"/>
    <col min="2157" max="2157" width="36.5703125" bestFit="1" customWidth="1"/>
    <col min="2158" max="2158" width="36.28515625" bestFit="1" customWidth="1"/>
    <col min="2159" max="2159" width="36.42578125" bestFit="1" customWidth="1"/>
    <col min="2160" max="2161" width="37.5703125" bestFit="1" customWidth="1"/>
    <col min="2162" max="2162" width="36.7109375" bestFit="1" customWidth="1"/>
    <col min="2163" max="2163" width="37" bestFit="1" customWidth="1"/>
    <col min="2164" max="2164" width="37.5703125" bestFit="1" customWidth="1"/>
    <col min="2165" max="2165" width="36" bestFit="1" customWidth="1"/>
    <col min="2166" max="2166" width="37.42578125" bestFit="1" customWidth="1"/>
    <col min="2167" max="2167" width="36.28515625" bestFit="1" customWidth="1"/>
    <col min="2168" max="2168" width="36.140625" bestFit="1" customWidth="1"/>
    <col min="2169" max="2169" width="37.42578125" bestFit="1" customWidth="1"/>
    <col min="2170" max="2170" width="37.7109375" bestFit="1" customWidth="1"/>
    <col min="2171" max="2171" width="36.5703125" bestFit="1" customWidth="1"/>
    <col min="2172" max="2172" width="37" bestFit="1" customWidth="1"/>
    <col min="2173" max="2173" width="36" bestFit="1" customWidth="1"/>
    <col min="2174" max="2174" width="37.140625" bestFit="1" customWidth="1"/>
    <col min="2175" max="2175" width="37.28515625" bestFit="1" customWidth="1"/>
    <col min="2176" max="2176" width="36.5703125" bestFit="1" customWidth="1"/>
    <col min="2177" max="2177" width="38" bestFit="1" customWidth="1"/>
    <col min="2178" max="2178" width="36.28515625" bestFit="1" customWidth="1"/>
    <col min="2179" max="2179" width="36" bestFit="1" customWidth="1"/>
    <col min="2180" max="2181" width="37" bestFit="1" customWidth="1"/>
    <col min="2182" max="2182" width="36.42578125" bestFit="1" customWidth="1"/>
    <col min="2183" max="2183" width="36.85546875" bestFit="1" customWidth="1"/>
    <col min="2184" max="2184" width="36.42578125" bestFit="1" customWidth="1"/>
    <col min="2185" max="2185" width="37.140625" bestFit="1" customWidth="1"/>
    <col min="2186" max="2186" width="37.7109375" bestFit="1" customWidth="1"/>
    <col min="2187" max="2188" width="37.28515625" bestFit="1" customWidth="1"/>
    <col min="2189" max="2189" width="37.140625" bestFit="1" customWidth="1"/>
    <col min="2190" max="2192" width="37" bestFit="1" customWidth="1"/>
    <col min="2193" max="2193" width="37.5703125" bestFit="1" customWidth="1"/>
    <col min="2194" max="2194" width="36.85546875" bestFit="1" customWidth="1"/>
    <col min="2195" max="2195" width="35.85546875" bestFit="1" customWidth="1"/>
    <col min="2196" max="2196" width="37.28515625" bestFit="1" customWidth="1"/>
    <col min="2197" max="2197" width="36.7109375" bestFit="1" customWidth="1"/>
    <col min="2198" max="2198" width="36.85546875" bestFit="1" customWidth="1"/>
    <col min="2199" max="2199" width="36.5703125" bestFit="1" customWidth="1"/>
    <col min="2200" max="2200" width="37.5703125" bestFit="1" customWidth="1"/>
    <col min="2201" max="2201" width="36.28515625" bestFit="1" customWidth="1"/>
    <col min="2202" max="2202" width="37.5703125" bestFit="1" customWidth="1"/>
    <col min="2203" max="2203" width="37.42578125" bestFit="1" customWidth="1"/>
    <col min="2204" max="2204" width="37.5703125" bestFit="1" customWidth="1"/>
    <col min="2205" max="2205" width="37.28515625" bestFit="1" customWidth="1"/>
    <col min="2206" max="2206" width="35.7109375" bestFit="1" customWidth="1"/>
    <col min="2207" max="2207" width="36.85546875" bestFit="1" customWidth="1"/>
    <col min="2208" max="2209" width="38.28515625" bestFit="1" customWidth="1"/>
    <col min="2210" max="2210" width="37.42578125" bestFit="1" customWidth="1"/>
    <col min="2211" max="2211" width="37.140625" bestFit="1" customWidth="1"/>
    <col min="2212" max="2212" width="36.85546875" bestFit="1" customWidth="1"/>
    <col min="2213" max="2213" width="36.5703125" bestFit="1" customWidth="1"/>
    <col min="2214" max="2214" width="37.28515625" bestFit="1" customWidth="1"/>
    <col min="2215" max="2215" width="36.42578125" bestFit="1" customWidth="1"/>
    <col min="2216" max="2216" width="36.85546875" bestFit="1" customWidth="1"/>
    <col min="2217" max="2217" width="37.28515625" bestFit="1" customWidth="1"/>
    <col min="2218" max="2218" width="38.140625" bestFit="1" customWidth="1"/>
    <col min="2219" max="2220" width="37" bestFit="1" customWidth="1"/>
    <col min="2221" max="2221" width="37.140625" bestFit="1" customWidth="1"/>
    <col min="2222" max="2222" width="36.5703125" bestFit="1" customWidth="1"/>
    <col min="2223" max="2223" width="37.140625" bestFit="1" customWidth="1"/>
    <col min="2224" max="2224" width="37.42578125" bestFit="1" customWidth="1"/>
    <col min="2225" max="2225" width="36.85546875" bestFit="1" customWidth="1"/>
    <col min="2226" max="2226" width="37.42578125" bestFit="1" customWidth="1"/>
    <col min="2227" max="2227" width="38.140625" bestFit="1" customWidth="1"/>
    <col min="2228" max="2228" width="36.85546875" bestFit="1" customWidth="1"/>
    <col min="2229" max="2229" width="36.7109375" bestFit="1" customWidth="1"/>
    <col min="2230" max="2230" width="37.5703125" bestFit="1" customWidth="1"/>
    <col min="2231" max="2231" width="36.85546875" bestFit="1" customWidth="1"/>
    <col min="2232" max="2232" width="37.28515625" bestFit="1" customWidth="1"/>
    <col min="2233" max="2233" width="35.7109375" bestFit="1" customWidth="1"/>
    <col min="2234" max="2234" width="36" bestFit="1" customWidth="1"/>
    <col min="2235" max="2235" width="36.42578125" bestFit="1" customWidth="1"/>
    <col min="2236" max="2236" width="37" bestFit="1" customWidth="1"/>
    <col min="2237" max="2237" width="36.85546875" bestFit="1" customWidth="1"/>
    <col min="2238" max="2238" width="37.140625" bestFit="1" customWidth="1"/>
    <col min="2239" max="2239" width="36.85546875" bestFit="1" customWidth="1"/>
    <col min="2240" max="2240" width="36.5703125" bestFit="1" customWidth="1"/>
    <col min="2241" max="2241" width="36.42578125" bestFit="1" customWidth="1"/>
    <col min="2242" max="2242" width="37.7109375" bestFit="1" customWidth="1"/>
    <col min="2243" max="2243" width="36.42578125" bestFit="1" customWidth="1"/>
    <col min="2244" max="2244" width="37.28515625" bestFit="1" customWidth="1"/>
    <col min="2245" max="2245" width="37" bestFit="1" customWidth="1"/>
    <col min="2246" max="2246" width="36.7109375" bestFit="1" customWidth="1"/>
    <col min="2247" max="2247" width="36.5703125" bestFit="1" customWidth="1"/>
    <col min="2248" max="2248" width="37" bestFit="1" customWidth="1"/>
    <col min="2249" max="2251" width="37.42578125" bestFit="1" customWidth="1"/>
    <col min="2252" max="2252" width="36.42578125" bestFit="1" customWidth="1"/>
    <col min="2253" max="2253" width="37.7109375" bestFit="1" customWidth="1"/>
    <col min="2254" max="2254" width="37.140625" bestFit="1" customWidth="1"/>
    <col min="2255" max="2255" width="36.85546875" bestFit="1" customWidth="1"/>
    <col min="2256" max="2256" width="38.28515625" bestFit="1" customWidth="1"/>
    <col min="2257" max="2257" width="37" bestFit="1" customWidth="1"/>
    <col min="2258" max="2258" width="37.42578125" bestFit="1" customWidth="1"/>
    <col min="2259" max="2259" width="37" bestFit="1" customWidth="1"/>
    <col min="2260" max="2260" width="36.85546875" bestFit="1" customWidth="1"/>
    <col min="2261" max="2261" width="36.42578125" bestFit="1" customWidth="1"/>
    <col min="2262" max="2262" width="36.5703125" bestFit="1" customWidth="1"/>
    <col min="2263" max="2263" width="37.140625" bestFit="1" customWidth="1"/>
    <col min="2264" max="2264" width="38.140625" bestFit="1" customWidth="1"/>
    <col min="2265" max="2265" width="37.140625" bestFit="1" customWidth="1"/>
    <col min="2266" max="2266" width="37.7109375" bestFit="1" customWidth="1"/>
    <col min="2267" max="2268" width="36.7109375" bestFit="1" customWidth="1"/>
    <col min="2269" max="2269" width="37.7109375" bestFit="1" customWidth="1"/>
    <col min="2270" max="2271" width="37.28515625" bestFit="1" customWidth="1"/>
    <col min="2272" max="2272" width="36.7109375" bestFit="1" customWidth="1"/>
    <col min="2273" max="2273" width="36.42578125" bestFit="1" customWidth="1"/>
    <col min="2274" max="2276" width="37" bestFit="1" customWidth="1"/>
    <col min="2277" max="2277" width="36.7109375" bestFit="1" customWidth="1"/>
    <col min="2278" max="2278" width="36.85546875" bestFit="1" customWidth="1"/>
    <col min="2279" max="2279" width="37" bestFit="1" customWidth="1"/>
    <col min="2280" max="2280" width="37.7109375" bestFit="1" customWidth="1"/>
    <col min="2281" max="2281" width="37.42578125" bestFit="1" customWidth="1"/>
    <col min="2282" max="2282" width="37.140625" bestFit="1" customWidth="1"/>
    <col min="2283" max="2283" width="37" bestFit="1" customWidth="1"/>
    <col min="2284" max="2284" width="37.7109375" bestFit="1" customWidth="1"/>
    <col min="2285" max="2285" width="37.140625" bestFit="1" customWidth="1"/>
    <col min="2286" max="2287" width="36.85546875" bestFit="1" customWidth="1"/>
    <col min="2288" max="2288" width="38" bestFit="1" customWidth="1"/>
    <col min="2289" max="2289" width="36.42578125" bestFit="1" customWidth="1"/>
    <col min="2290" max="2290" width="37.140625" bestFit="1" customWidth="1"/>
    <col min="2291" max="2291" width="36.85546875" bestFit="1" customWidth="1"/>
    <col min="2292" max="2292" width="36.42578125" bestFit="1" customWidth="1"/>
    <col min="2293" max="2293" width="36.7109375" bestFit="1" customWidth="1"/>
    <col min="2294" max="2294" width="37.5703125" bestFit="1" customWidth="1"/>
    <col min="2295" max="2295" width="38.5703125" bestFit="1" customWidth="1"/>
    <col min="2296" max="2296" width="37.5703125" bestFit="1" customWidth="1"/>
    <col min="2297" max="2297" width="36.7109375" bestFit="1" customWidth="1"/>
    <col min="2298" max="2298" width="36.140625" bestFit="1" customWidth="1"/>
    <col min="2299" max="2299" width="36.7109375" bestFit="1" customWidth="1"/>
    <col min="2300" max="2300" width="37.28515625" bestFit="1" customWidth="1"/>
    <col min="2301" max="2301" width="37.42578125" bestFit="1" customWidth="1"/>
    <col min="2302" max="2302" width="37.5703125" bestFit="1" customWidth="1"/>
    <col min="2303" max="2303" width="37.28515625" bestFit="1" customWidth="1"/>
    <col min="2304" max="2304" width="37.140625" bestFit="1" customWidth="1"/>
    <col min="2305" max="2305" width="37.5703125" bestFit="1" customWidth="1"/>
    <col min="2306" max="2306" width="36.7109375" bestFit="1" customWidth="1"/>
    <col min="2307" max="2307" width="37.42578125" bestFit="1" customWidth="1"/>
    <col min="2308" max="2308" width="38.28515625" bestFit="1" customWidth="1"/>
    <col min="2309" max="2309" width="37.140625" bestFit="1" customWidth="1"/>
    <col min="2310" max="2310" width="37.28515625" bestFit="1" customWidth="1"/>
    <col min="2311" max="2311" width="37.42578125" bestFit="1" customWidth="1"/>
    <col min="2312" max="2313" width="37.28515625" bestFit="1" customWidth="1"/>
    <col min="2314" max="2314" width="37.42578125" bestFit="1" customWidth="1"/>
    <col min="2315" max="2316" width="37.140625" bestFit="1" customWidth="1"/>
    <col min="2317" max="2317" width="37.42578125" bestFit="1" customWidth="1"/>
    <col min="2318" max="2318" width="38.5703125" bestFit="1" customWidth="1"/>
    <col min="2319" max="2319" width="38" bestFit="1" customWidth="1"/>
    <col min="2320" max="2320" width="36.7109375" bestFit="1" customWidth="1"/>
    <col min="2321" max="2321" width="37.28515625" bestFit="1" customWidth="1"/>
    <col min="2322" max="2322" width="38" bestFit="1" customWidth="1"/>
    <col min="2323" max="2323" width="37.28515625" bestFit="1" customWidth="1"/>
    <col min="2324" max="2324" width="36.7109375" bestFit="1" customWidth="1"/>
    <col min="2325" max="2325" width="37.42578125" bestFit="1" customWidth="1"/>
    <col min="2326" max="2326" width="36.5703125" bestFit="1" customWidth="1"/>
    <col min="2327" max="2327" width="37" bestFit="1" customWidth="1"/>
    <col min="2328" max="2328" width="36" bestFit="1" customWidth="1"/>
    <col min="2329" max="2329" width="37.42578125" bestFit="1" customWidth="1"/>
    <col min="2330" max="2330" width="37.7109375" bestFit="1" customWidth="1"/>
    <col min="2331" max="2331" width="38.28515625" bestFit="1" customWidth="1"/>
    <col min="2332" max="2332" width="36.85546875" bestFit="1" customWidth="1"/>
    <col min="2333" max="2333" width="37.5703125" bestFit="1" customWidth="1"/>
    <col min="2334" max="2334" width="37.28515625" bestFit="1" customWidth="1"/>
    <col min="2335" max="2335" width="37.7109375" bestFit="1" customWidth="1"/>
    <col min="2336" max="2336" width="36.85546875" bestFit="1" customWidth="1"/>
    <col min="2337" max="2339" width="37" bestFit="1" customWidth="1"/>
    <col min="2340" max="2340" width="36.5703125" bestFit="1" customWidth="1"/>
    <col min="2341" max="2341" width="37.140625" bestFit="1" customWidth="1"/>
    <col min="2342" max="2342" width="37.28515625" bestFit="1" customWidth="1"/>
    <col min="2343" max="2343" width="38" bestFit="1" customWidth="1"/>
    <col min="2344" max="2344" width="36.42578125" bestFit="1" customWidth="1"/>
    <col min="2345" max="2345" width="36.140625" bestFit="1" customWidth="1"/>
    <col min="2346" max="2347" width="36.5703125" bestFit="1" customWidth="1"/>
    <col min="2348" max="2348" width="36.140625" bestFit="1" customWidth="1"/>
    <col min="2349" max="2349" width="36.85546875" bestFit="1" customWidth="1"/>
    <col min="2350" max="2351" width="37.42578125" bestFit="1" customWidth="1"/>
    <col min="2352" max="2352" width="37" bestFit="1" customWidth="1"/>
    <col min="2353" max="2353" width="36.42578125" bestFit="1" customWidth="1"/>
    <col min="2354" max="2354" width="37.28515625" bestFit="1" customWidth="1"/>
    <col min="2355" max="2355" width="36.85546875" bestFit="1" customWidth="1"/>
    <col min="2356" max="2357" width="37.140625" bestFit="1" customWidth="1"/>
    <col min="2358" max="2358" width="36.7109375" bestFit="1" customWidth="1"/>
    <col min="2359" max="2359" width="36.42578125" bestFit="1" customWidth="1"/>
    <col min="2360" max="2360" width="37.5703125" bestFit="1" customWidth="1"/>
    <col min="2361" max="2361" width="37" bestFit="1" customWidth="1"/>
    <col min="2362" max="2362" width="36.7109375" bestFit="1" customWidth="1"/>
    <col min="2363" max="2363" width="36.85546875" bestFit="1" customWidth="1"/>
    <col min="2364" max="2364" width="35.85546875" bestFit="1" customWidth="1"/>
    <col min="2365" max="2365" width="37.7109375" bestFit="1" customWidth="1"/>
    <col min="2366" max="2366" width="36.7109375" bestFit="1" customWidth="1"/>
    <col min="2367" max="2367" width="37.42578125" bestFit="1" customWidth="1"/>
    <col min="2368" max="2368" width="36.85546875" bestFit="1" customWidth="1"/>
    <col min="2369" max="2369" width="37.7109375" bestFit="1" customWidth="1"/>
    <col min="2370" max="2370" width="38.28515625" bestFit="1" customWidth="1"/>
    <col min="2371" max="2371" width="37.28515625" bestFit="1" customWidth="1"/>
    <col min="2372" max="2373" width="38.140625" bestFit="1" customWidth="1"/>
    <col min="2374" max="2374" width="37.42578125" bestFit="1" customWidth="1"/>
    <col min="2375" max="2375" width="37.28515625" bestFit="1" customWidth="1"/>
    <col min="2376" max="2376" width="36.7109375" bestFit="1" customWidth="1"/>
    <col min="2377" max="2377" width="38.28515625" bestFit="1" customWidth="1"/>
    <col min="2378" max="2378" width="36.7109375" bestFit="1" customWidth="1"/>
    <col min="2379" max="2379" width="37.5703125" bestFit="1" customWidth="1"/>
    <col min="2380" max="2380" width="37" bestFit="1" customWidth="1"/>
    <col min="2381" max="2381" width="37.7109375" bestFit="1" customWidth="1"/>
    <col min="2382" max="2382" width="35.7109375" bestFit="1" customWidth="1"/>
    <col min="2383" max="2383" width="37.42578125" bestFit="1" customWidth="1"/>
    <col min="2384" max="2384" width="37.28515625" bestFit="1" customWidth="1"/>
    <col min="2385" max="2385" width="37.42578125" bestFit="1" customWidth="1"/>
    <col min="2386" max="2386" width="37.5703125" bestFit="1" customWidth="1"/>
    <col min="2387" max="2387" width="36.85546875" bestFit="1" customWidth="1"/>
    <col min="2388" max="2388" width="36.5703125" bestFit="1" customWidth="1"/>
    <col min="2389" max="2389" width="37.28515625" bestFit="1" customWidth="1"/>
    <col min="2390" max="2390" width="37" bestFit="1" customWidth="1"/>
    <col min="2391" max="2391" width="38" bestFit="1" customWidth="1"/>
    <col min="2392" max="2392" width="37" bestFit="1" customWidth="1"/>
    <col min="2393" max="2393" width="37.28515625" bestFit="1" customWidth="1"/>
    <col min="2394" max="2395" width="37" bestFit="1" customWidth="1"/>
    <col min="2396" max="2396" width="37.42578125" bestFit="1" customWidth="1"/>
    <col min="2397" max="2397" width="37" bestFit="1" customWidth="1"/>
    <col min="2398" max="2398" width="36.5703125" bestFit="1" customWidth="1"/>
    <col min="2399" max="2399" width="38" bestFit="1" customWidth="1"/>
    <col min="2400" max="2400" width="37.5703125" bestFit="1" customWidth="1"/>
    <col min="2401" max="2401" width="36.5703125" bestFit="1" customWidth="1"/>
    <col min="2402" max="2402" width="38" bestFit="1" customWidth="1"/>
    <col min="2403" max="2403" width="37.7109375" bestFit="1" customWidth="1"/>
    <col min="2404" max="2404" width="36.42578125" bestFit="1" customWidth="1"/>
    <col min="2405" max="2405" width="37.42578125" bestFit="1" customWidth="1"/>
    <col min="2406" max="2406" width="37.28515625" bestFit="1" customWidth="1"/>
    <col min="2407" max="2408" width="38" bestFit="1" customWidth="1"/>
    <col min="2409" max="2409" width="37.42578125" bestFit="1" customWidth="1"/>
    <col min="2410" max="2410" width="38.28515625" bestFit="1" customWidth="1"/>
    <col min="2411" max="2411" width="37.5703125" bestFit="1" customWidth="1"/>
    <col min="2412" max="2412" width="37.28515625" bestFit="1" customWidth="1"/>
    <col min="2413" max="2413" width="36.85546875" bestFit="1" customWidth="1"/>
    <col min="2414" max="2414" width="37.28515625" bestFit="1" customWidth="1"/>
    <col min="2415" max="2415" width="37.5703125" bestFit="1" customWidth="1"/>
    <col min="2416" max="2416" width="37.140625" bestFit="1" customWidth="1"/>
    <col min="2417" max="2417" width="37.28515625" bestFit="1" customWidth="1"/>
    <col min="2418" max="2418" width="37.5703125" bestFit="1" customWidth="1"/>
    <col min="2419" max="2419" width="37.28515625" bestFit="1" customWidth="1"/>
    <col min="2420" max="2420" width="37.140625" bestFit="1" customWidth="1"/>
    <col min="2421" max="2421" width="36.140625" bestFit="1" customWidth="1"/>
    <col min="2422" max="2422" width="37" bestFit="1" customWidth="1"/>
    <col min="2423" max="2423" width="36.7109375" bestFit="1" customWidth="1"/>
    <col min="2424" max="2425" width="37.28515625" bestFit="1" customWidth="1"/>
    <col min="2426" max="2426" width="37" bestFit="1" customWidth="1"/>
    <col min="2427" max="2427" width="36.7109375" bestFit="1" customWidth="1"/>
    <col min="2428" max="2428" width="36.42578125" bestFit="1" customWidth="1"/>
    <col min="2429" max="2429" width="37.140625" bestFit="1" customWidth="1"/>
    <col min="2430" max="2430" width="36.140625" bestFit="1" customWidth="1"/>
    <col min="2431" max="2432" width="37.28515625" bestFit="1" customWidth="1"/>
    <col min="2433" max="2433" width="36.85546875" bestFit="1" customWidth="1"/>
    <col min="2434" max="2434" width="38" bestFit="1" customWidth="1"/>
    <col min="2435" max="2435" width="36.42578125" bestFit="1" customWidth="1"/>
    <col min="2436" max="2436" width="36.85546875" bestFit="1" customWidth="1"/>
    <col min="2437" max="2437" width="37.140625" bestFit="1" customWidth="1"/>
    <col min="2438" max="2438" width="36.140625" bestFit="1" customWidth="1"/>
    <col min="2439" max="2439" width="37.28515625" bestFit="1" customWidth="1"/>
    <col min="2440" max="2440" width="37.5703125" bestFit="1" customWidth="1"/>
    <col min="2441" max="2441" width="38.140625" bestFit="1" customWidth="1"/>
    <col min="2442" max="2442" width="36.7109375" bestFit="1" customWidth="1"/>
    <col min="2443" max="2443" width="37.42578125" bestFit="1" customWidth="1"/>
    <col min="2444" max="2444" width="35.7109375" bestFit="1" customWidth="1"/>
    <col min="2445" max="2445" width="36.85546875" bestFit="1" customWidth="1"/>
    <col min="2446" max="2446" width="36.5703125" bestFit="1" customWidth="1"/>
    <col min="2447" max="2447" width="37.5703125" bestFit="1" customWidth="1"/>
    <col min="2448" max="2448" width="36.7109375" bestFit="1" customWidth="1"/>
    <col min="2449" max="2449" width="37.140625" bestFit="1" customWidth="1"/>
    <col min="2450" max="2450" width="38" bestFit="1" customWidth="1"/>
    <col min="2451" max="2453" width="37.7109375" bestFit="1" customWidth="1"/>
    <col min="2454" max="2454" width="37.28515625" bestFit="1" customWidth="1"/>
    <col min="2455" max="2455" width="37.5703125" bestFit="1" customWidth="1"/>
    <col min="2456" max="2456" width="37.140625" bestFit="1" customWidth="1"/>
    <col min="2457" max="2457" width="36.5703125" bestFit="1" customWidth="1"/>
    <col min="2458" max="2458" width="37" bestFit="1" customWidth="1"/>
    <col min="2459" max="2459" width="36.85546875" bestFit="1" customWidth="1"/>
    <col min="2460" max="2460" width="36.5703125" bestFit="1" customWidth="1"/>
    <col min="2461" max="2461" width="36.7109375" bestFit="1" customWidth="1"/>
    <col min="2462" max="2462" width="37.7109375" bestFit="1" customWidth="1"/>
    <col min="2463" max="2463" width="38.42578125" bestFit="1" customWidth="1"/>
    <col min="2464" max="2464" width="37.7109375" bestFit="1" customWidth="1"/>
    <col min="2465" max="2465" width="37" bestFit="1" customWidth="1"/>
    <col min="2466" max="2466" width="37.28515625" bestFit="1" customWidth="1"/>
    <col min="2467" max="2467" width="36" bestFit="1" customWidth="1"/>
    <col min="2468" max="2468" width="37" bestFit="1" customWidth="1"/>
    <col min="2469" max="2469" width="37.28515625" bestFit="1" customWidth="1"/>
    <col min="2470" max="2470" width="37.5703125" bestFit="1" customWidth="1"/>
    <col min="2471" max="2471" width="37" bestFit="1" customWidth="1"/>
    <col min="2472" max="2472" width="38.28515625" bestFit="1" customWidth="1"/>
    <col min="2473" max="2473" width="37.28515625" bestFit="1" customWidth="1"/>
    <col min="2474" max="2474" width="37.5703125" bestFit="1" customWidth="1"/>
    <col min="2475" max="2475" width="37" bestFit="1" customWidth="1"/>
    <col min="2476" max="2476" width="37.28515625" bestFit="1" customWidth="1"/>
    <col min="2477" max="2477" width="37.140625" bestFit="1" customWidth="1"/>
    <col min="2478" max="2478" width="36.42578125" bestFit="1" customWidth="1"/>
    <col min="2479" max="2479" width="36.85546875" bestFit="1" customWidth="1"/>
    <col min="2480" max="2480" width="36.5703125" bestFit="1" customWidth="1"/>
    <col min="2481" max="2481" width="37.5703125" bestFit="1" customWidth="1"/>
    <col min="2482" max="2482" width="36.7109375" bestFit="1" customWidth="1"/>
    <col min="2483" max="2483" width="37" bestFit="1" customWidth="1"/>
    <col min="2484" max="2484" width="37.7109375" bestFit="1" customWidth="1"/>
    <col min="2485" max="2485" width="37" bestFit="1" customWidth="1"/>
    <col min="2486" max="2486" width="37.5703125" bestFit="1" customWidth="1"/>
    <col min="2487" max="2487" width="37.28515625" bestFit="1" customWidth="1"/>
    <col min="2488" max="2488" width="37.5703125" bestFit="1" customWidth="1"/>
    <col min="2489" max="2489" width="37.28515625" bestFit="1" customWidth="1"/>
    <col min="2490" max="2490" width="37.5703125" bestFit="1" customWidth="1"/>
    <col min="2491" max="2491" width="36.28515625" bestFit="1" customWidth="1"/>
    <col min="2492" max="2492" width="36.5703125" bestFit="1" customWidth="1"/>
    <col min="2493" max="2493" width="36" bestFit="1" customWidth="1"/>
    <col min="2494" max="2494" width="38" bestFit="1" customWidth="1"/>
    <col min="2495" max="2495" width="37.28515625" bestFit="1" customWidth="1"/>
    <col min="2496" max="2496" width="37.140625" bestFit="1" customWidth="1"/>
    <col min="2497" max="2499" width="37.28515625" bestFit="1" customWidth="1"/>
    <col min="2500" max="2500" width="37.7109375" bestFit="1" customWidth="1"/>
    <col min="2501" max="2501" width="36.5703125" bestFit="1" customWidth="1"/>
    <col min="2502" max="2502" width="36.7109375" bestFit="1" customWidth="1"/>
    <col min="2503" max="2503" width="37.28515625" bestFit="1" customWidth="1"/>
    <col min="2504" max="2504" width="37.140625" bestFit="1" customWidth="1"/>
    <col min="2505" max="2505" width="36.85546875" bestFit="1" customWidth="1"/>
    <col min="2506" max="2506" width="36.28515625" bestFit="1" customWidth="1"/>
    <col min="2507" max="2507" width="37.7109375" bestFit="1" customWidth="1"/>
    <col min="2508" max="2508" width="38" bestFit="1" customWidth="1"/>
    <col min="2509" max="2509" width="36.42578125" bestFit="1" customWidth="1"/>
    <col min="2510" max="2510" width="37" bestFit="1" customWidth="1"/>
    <col min="2511" max="2511" width="37.42578125" bestFit="1" customWidth="1"/>
    <col min="2512" max="2512" width="37" bestFit="1" customWidth="1"/>
    <col min="2513" max="2513" width="36.5703125" bestFit="1" customWidth="1"/>
    <col min="2514" max="2514" width="36.85546875" bestFit="1" customWidth="1"/>
    <col min="2515" max="2515" width="35.85546875" bestFit="1" customWidth="1"/>
    <col min="2516" max="2516" width="36.140625" bestFit="1" customWidth="1"/>
    <col min="2517" max="2517" width="36.5703125" bestFit="1" customWidth="1"/>
    <col min="2518" max="2518" width="36.7109375" bestFit="1" customWidth="1"/>
    <col min="2519" max="2519" width="36.5703125" bestFit="1" customWidth="1"/>
    <col min="2520" max="2521" width="36.85546875" bestFit="1" customWidth="1"/>
    <col min="2522" max="2522" width="37.28515625" bestFit="1" customWidth="1"/>
    <col min="2523" max="2523" width="37" bestFit="1" customWidth="1"/>
    <col min="2524" max="2524" width="37.42578125" bestFit="1" customWidth="1"/>
    <col min="2525" max="2525" width="37.28515625" bestFit="1" customWidth="1"/>
    <col min="2526" max="2526" width="36.85546875" bestFit="1" customWidth="1"/>
    <col min="2527" max="2527" width="37.28515625" bestFit="1" customWidth="1"/>
    <col min="2528" max="2528" width="37.42578125" bestFit="1" customWidth="1"/>
    <col min="2529" max="2529" width="37.140625" bestFit="1" customWidth="1"/>
    <col min="2530" max="2530" width="37.5703125" bestFit="1" customWidth="1"/>
    <col min="2531" max="2531" width="37.42578125" bestFit="1" customWidth="1"/>
    <col min="2532" max="2532" width="38" bestFit="1" customWidth="1"/>
    <col min="2533" max="2533" width="37.42578125" bestFit="1" customWidth="1"/>
    <col min="2534" max="2534" width="37.7109375" bestFit="1" customWidth="1"/>
    <col min="2535" max="2535" width="37.5703125" bestFit="1" customWidth="1"/>
    <col min="2536" max="2537" width="37.28515625" bestFit="1" customWidth="1"/>
    <col min="2538" max="2538" width="37.42578125" bestFit="1" customWidth="1"/>
    <col min="2539" max="2539" width="36.42578125" bestFit="1" customWidth="1"/>
    <col min="2540" max="2540" width="38.28515625" bestFit="1" customWidth="1"/>
    <col min="2541" max="2541" width="36.85546875" bestFit="1" customWidth="1"/>
    <col min="2542" max="2542" width="37.140625" bestFit="1" customWidth="1"/>
    <col min="2543" max="2544" width="37.5703125" bestFit="1" customWidth="1"/>
    <col min="2545" max="2545" width="38.85546875" bestFit="1" customWidth="1"/>
    <col min="2546" max="2546" width="37.28515625" bestFit="1" customWidth="1"/>
    <col min="2547" max="2547" width="37.5703125" bestFit="1" customWidth="1"/>
    <col min="2548" max="2548" width="36.85546875" bestFit="1" customWidth="1"/>
    <col min="2549" max="2549" width="37" bestFit="1" customWidth="1"/>
    <col min="2550" max="2550" width="37.140625" bestFit="1" customWidth="1"/>
    <col min="2551" max="2551" width="37.42578125" bestFit="1" customWidth="1"/>
    <col min="2552" max="2552" width="36.140625" bestFit="1" customWidth="1"/>
    <col min="2553" max="2553" width="37.5703125" bestFit="1" customWidth="1"/>
    <col min="2554" max="2554" width="36.42578125" bestFit="1" customWidth="1"/>
    <col min="2555" max="2555" width="37.42578125" bestFit="1" customWidth="1"/>
    <col min="2556" max="2556" width="35.85546875" bestFit="1" customWidth="1"/>
    <col min="2557" max="2557" width="37.28515625" bestFit="1" customWidth="1"/>
    <col min="2558" max="2558" width="37" bestFit="1" customWidth="1"/>
    <col min="2559" max="2559" width="37.7109375" bestFit="1" customWidth="1"/>
    <col min="2560" max="2560" width="38.140625" bestFit="1" customWidth="1"/>
    <col min="2561" max="2561" width="37.7109375" bestFit="1" customWidth="1"/>
    <col min="2562" max="2562" width="36.7109375" bestFit="1" customWidth="1"/>
    <col min="2563" max="2563" width="37" bestFit="1" customWidth="1"/>
    <col min="2564" max="2564" width="37.42578125" bestFit="1" customWidth="1"/>
    <col min="2565" max="2565" width="36.7109375" bestFit="1" customWidth="1"/>
    <col min="2566" max="2567" width="37.7109375" bestFit="1" customWidth="1"/>
    <col min="2568" max="2568" width="37.42578125" bestFit="1" customWidth="1"/>
    <col min="2569" max="2570" width="37" bestFit="1" customWidth="1"/>
    <col min="2571" max="2571" width="38.5703125" bestFit="1" customWidth="1"/>
    <col min="2572" max="2572" width="38" bestFit="1" customWidth="1"/>
    <col min="2573" max="2573" width="37.42578125" bestFit="1" customWidth="1"/>
    <col min="2574" max="2574" width="37.7109375" bestFit="1" customWidth="1"/>
    <col min="2575" max="2575" width="38" bestFit="1" customWidth="1"/>
    <col min="2576" max="2576" width="37.42578125" bestFit="1" customWidth="1"/>
    <col min="2577" max="2577" width="37.5703125" bestFit="1" customWidth="1"/>
    <col min="2578" max="2578" width="37" bestFit="1" customWidth="1"/>
    <col min="2579" max="2579" width="38" bestFit="1" customWidth="1"/>
    <col min="2580" max="2580" width="37.28515625" bestFit="1" customWidth="1"/>
    <col min="2581" max="2581" width="37" bestFit="1" customWidth="1"/>
    <col min="2582" max="2582" width="37.7109375" bestFit="1" customWidth="1"/>
    <col min="2583" max="2583" width="37.5703125" bestFit="1" customWidth="1"/>
    <col min="2584" max="2584" width="36.85546875" bestFit="1" customWidth="1"/>
    <col min="2585" max="2586" width="36.7109375" bestFit="1" customWidth="1"/>
    <col min="2587" max="2587" width="36.85546875" bestFit="1" customWidth="1"/>
    <col min="2588" max="2588" width="36.7109375" bestFit="1" customWidth="1"/>
    <col min="2589" max="2589" width="37.140625" bestFit="1" customWidth="1"/>
    <col min="2590" max="2591" width="37" bestFit="1" customWidth="1"/>
    <col min="2592" max="2592" width="36.42578125" bestFit="1" customWidth="1"/>
    <col min="2593" max="2593" width="37" bestFit="1" customWidth="1"/>
    <col min="2594" max="2594" width="36.140625" bestFit="1" customWidth="1"/>
    <col min="2595" max="2595" width="36.28515625" bestFit="1" customWidth="1"/>
    <col min="2596" max="2596" width="37" bestFit="1" customWidth="1"/>
    <col min="2597" max="2597" width="36.5703125" bestFit="1" customWidth="1"/>
    <col min="2598" max="2598" width="38" bestFit="1" customWidth="1"/>
    <col min="2599" max="2599" width="36.85546875" bestFit="1" customWidth="1"/>
    <col min="2600" max="2600" width="37.5703125" bestFit="1" customWidth="1"/>
    <col min="2601" max="2601" width="36.7109375" bestFit="1" customWidth="1"/>
    <col min="2602" max="2602" width="37.28515625" bestFit="1" customWidth="1"/>
    <col min="2603" max="2603" width="36.7109375" bestFit="1" customWidth="1"/>
    <col min="2604" max="2604" width="36.42578125" bestFit="1" customWidth="1"/>
    <col min="2605" max="2605" width="37" bestFit="1" customWidth="1"/>
    <col min="2606" max="2606" width="36.42578125" bestFit="1" customWidth="1"/>
    <col min="2607" max="2607" width="37" bestFit="1" customWidth="1"/>
    <col min="2608" max="2608" width="36.140625" bestFit="1" customWidth="1"/>
    <col min="2609" max="2609" width="36.85546875" bestFit="1" customWidth="1"/>
    <col min="2610" max="2610" width="36.140625" bestFit="1" customWidth="1"/>
    <col min="2611" max="2611" width="36.7109375" bestFit="1" customWidth="1"/>
    <col min="2612" max="2612" width="36.42578125" bestFit="1" customWidth="1"/>
    <col min="2613" max="2613" width="35" bestFit="1" customWidth="1"/>
    <col min="2614" max="2614" width="36.7109375" bestFit="1" customWidth="1"/>
    <col min="2615" max="2615" width="36.85546875" bestFit="1" customWidth="1"/>
    <col min="2616" max="2616" width="37" bestFit="1" customWidth="1"/>
    <col min="2617" max="2617" width="37.42578125" bestFit="1" customWidth="1"/>
    <col min="2618" max="2618" width="37.140625" bestFit="1" customWidth="1"/>
    <col min="2619" max="2619" width="36" bestFit="1" customWidth="1"/>
    <col min="2620" max="2620" width="36.85546875" bestFit="1" customWidth="1"/>
    <col min="2621" max="2621" width="36.42578125" bestFit="1" customWidth="1"/>
    <col min="2622" max="2622" width="36.7109375" bestFit="1" customWidth="1"/>
    <col min="2623" max="2623" width="38.140625" bestFit="1" customWidth="1"/>
    <col min="2624" max="2624" width="37.28515625" bestFit="1" customWidth="1"/>
    <col min="2625" max="2625" width="36.28515625" bestFit="1" customWidth="1"/>
    <col min="2626" max="2626" width="38.28515625" bestFit="1" customWidth="1"/>
    <col min="2627" max="2627" width="36.140625" bestFit="1" customWidth="1"/>
    <col min="2628" max="2628" width="36.5703125" bestFit="1" customWidth="1"/>
    <col min="2629" max="2629" width="36.7109375" bestFit="1" customWidth="1"/>
    <col min="2630" max="2630" width="35.42578125" bestFit="1" customWidth="1"/>
    <col min="2631" max="2631" width="36.85546875" bestFit="1" customWidth="1"/>
    <col min="2632" max="2634" width="37.140625" bestFit="1" customWidth="1"/>
    <col min="2635" max="2635" width="37" bestFit="1" customWidth="1"/>
    <col min="2636" max="2636" width="36.28515625" bestFit="1" customWidth="1"/>
    <col min="2637" max="2637" width="36.42578125" bestFit="1" customWidth="1"/>
    <col min="2638" max="2639" width="36.7109375" bestFit="1" customWidth="1"/>
    <col min="2640" max="2640" width="36.5703125" bestFit="1" customWidth="1"/>
    <col min="2641" max="2641" width="35.85546875" bestFit="1" customWidth="1"/>
    <col min="2642" max="2642" width="36.7109375" bestFit="1" customWidth="1"/>
    <col min="2643" max="2643" width="37" bestFit="1" customWidth="1"/>
    <col min="2644" max="2644" width="36.28515625" bestFit="1" customWidth="1"/>
    <col min="2645" max="2645" width="36.5703125" bestFit="1" customWidth="1"/>
    <col min="2646" max="2646" width="37.28515625" bestFit="1" customWidth="1"/>
    <col min="2647" max="2647" width="36.42578125" bestFit="1" customWidth="1"/>
    <col min="2648" max="2648" width="36.5703125" bestFit="1" customWidth="1"/>
    <col min="2649" max="2649" width="37" bestFit="1" customWidth="1"/>
    <col min="2650" max="2650" width="36.5703125" bestFit="1" customWidth="1"/>
    <col min="2651" max="2651" width="36.85546875" bestFit="1" customWidth="1"/>
    <col min="2652" max="2652" width="36.28515625" bestFit="1" customWidth="1"/>
    <col min="2653" max="2653" width="36.140625" bestFit="1" customWidth="1"/>
    <col min="2654" max="2654" width="36.42578125" bestFit="1" customWidth="1"/>
    <col min="2655" max="2655" width="36.140625" bestFit="1" customWidth="1"/>
    <col min="2656" max="2656" width="36.7109375" bestFit="1" customWidth="1"/>
    <col min="2657" max="2657" width="37.5703125" bestFit="1" customWidth="1"/>
    <col min="2658" max="2658" width="36.85546875" bestFit="1" customWidth="1"/>
    <col min="2659" max="2659" width="37.140625" bestFit="1" customWidth="1"/>
    <col min="2660" max="2660" width="36.28515625" bestFit="1" customWidth="1"/>
    <col min="2661" max="2661" width="37.5703125" bestFit="1" customWidth="1"/>
    <col min="2662" max="2663" width="36.140625" bestFit="1" customWidth="1"/>
    <col min="2664" max="2664" width="36.42578125" bestFit="1" customWidth="1"/>
    <col min="2665" max="2665" width="36.5703125" bestFit="1" customWidth="1"/>
    <col min="2666" max="2666" width="36.85546875" bestFit="1" customWidth="1"/>
    <col min="2667" max="2668" width="36.42578125" bestFit="1" customWidth="1"/>
    <col min="2669" max="2669" width="37.7109375" bestFit="1" customWidth="1"/>
    <col min="2670" max="2671" width="36.28515625" bestFit="1" customWidth="1"/>
    <col min="2672" max="2672" width="36.5703125" bestFit="1" customWidth="1"/>
    <col min="2673" max="2673" width="36.7109375" bestFit="1" customWidth="1"/>
    <col min="2674" max="2674" width="36.140625" bestFit="1" customWidth="1"/>
    <col min="2675" max="2675" width="36.5703125" bestFit="1" customWidth="1"/>
    <col min="2676" max="2676" width="36" bestFit="1" customWidth="1"/>
    <col min="2677" max="2677" width="36.28515625" bestFit="1" customWidth="1"/>
    <col min="2678" max="2678" width="36.140625" bestFit="1" customWidth="1"/>
    <col min="2679" max="2679" width="37.140625" bestFit="1" customWidth="1"/>
    <col min="2680" max="2680" width="37.42578125" bestFit="1" customWidth="1"/>
    <col min="2681" max="2681" width="36.28515625" bestFit="1" customWidth="1"/>
    <col min="2682" max="2682" width="37.42578125" bestFit="1" customWidth="1"/>
    <col min="2683" max="2683" width="36.5703125" bestFit="1" customWidth="1"/>
    <col min="2684" max="2684" width="36.28515625" bestFit="1" customWidth="1"/>
    <col min="2685" max="2686" width="36.42578125" bestFit="1" customWidth="1"/>
    <col min="2687" max="2687" width="36.85546875" bestFit="1" customWidth="1"/>
    <col min="2688" max="2688" width="36.28515625" bestFit="1" customWidth="1"/>
    <col min="2689" max="2689" width="35.140625" bestFit="1" customWidth="1"/>
    <col min="2690" max="2690" width="36.5703125" bestFit="1" customWidth="1"/>
    <col min="2691" max="2691" width="36.140625" bestFit="1" customWidth="1"/>
    <col min="2692" max="2692" width="37.140625" bestFit="1" customWidth="1"/>
    <col min="2693" max="2693" width="37.28515625" bestFit="1" customWidth="1"/>
    <col min="2694" max="2694" width="37.140625" bestFit="1" customWidth="1"/>
    <col min="2695" max="2695" width="36.42578125" bestFit="1" customWidth="1"/>
    <col min="2696" max="2696" width="37.28515625" bestFit="1" customWidth="1"/>
    <col min="2697" max="2699" width="36.7109375" bestFit="1" customWidth="1"/>
    <col min="2700" max="2700" width="35" bestFit="1" customWidth="1"/>
    <col min="2701" max="2701" width="35.7109375" bestFit="1" customWidth="1"/>
    <col min="2702" max="2702" width="37" bestFit="1" customWidth="1"/>
    <col min="2703" max="2703" width="37.28515625" bestFit="1" customWidth="1"/>
    <col min="2704" max="2704" width="35.85546875" bestFit="1" customWidth="1"/>
    <col min="2705" max="2706" width="37" bestFit="1" customWidth="1"/>
    <col min="2707" max="2707" width="36.85546875" bestFit="1" customWidth="1"/>
    <col min="2708" max="2708" width="36.7109375" bestFit="1" customWidth="1"/>
    <col min="2709" max="2709" width="36.28515625" bestFit="1" customWidth="1"/>
    <col min="2710" max="2710" width="36.7109375" bestFit="1" customWidth="1"/>
    <col min="2711" max="2711" width="37.140625" bestFit="1" customWidth="1"/>
    <col min="2712" max="2712" width="36.140625" bestFit="1" customWidth="1"/>
    <col min="2713" max="2713" width="37.140625" bestFit="1" customWidth="1"/>
    <col min="2714" max="2714" width="36.5703125" bestFit="1" customWidth="1"/>
    <col min="2715" max="2715" width="37.42578125" bestFit="1" customWidth="1"/>
    <col min="2716" max="2716" width="36.7109375" bestFit="1" customWidth="1"/>
    <col min="2717" max="2717" width="37.140625" bestFit="1" customWidth="1"/>
    <col min="2718" max="2718" width="36.85546875" bestFit="1" customWidth="1"/>
    <col min="2719" max="2719" width="36.28515625" bestFit="1" customWidth="1"/>
    <col min="2720" max="2720" width="37.7109375" bestFit="1" customWidth="1"/>
    <col min="2721" max="2721" width="37" bestFit="1" customWidth="1"/>
    <col min="2722" max="2723" width="36.85546875" bestFit="1" customWidth="1"/>
    <col min="2724" max="2724" width="37.140625" bestFit="1" customWidth="1"/>
    <col min="2725" max="2725" width="37.28515625" bestFit="1" customWidth="1"/>
    <col min="2726" max="2726" width="38" bestFit="1" customWidth="1"/>
    <col min="2727" max="2727" width="35.5703125" bestFit="1" customWidth="1"/>
    <col min="2728" max="2728" width="35.28515625" bestFit="1" customWidth="1"/>
    <col min="2729" max="2730" width="36.7109375" bestFit="1" customWidth="1"/>
    <col min="2731" max="2731" width="37.42578125" bestFit="1" customWidth="1"/>
    <col min="2732" max="2732" width="36" bestFit="1" customWidth="1"/>
    <col min="2733" max="2733" width="36.42578125" bestFit="1" customWidth="1"/>
    <col min="2734" max="2734" width="36.7109375" bestFit="1" customWidth="1"/>
    <col min="2735" max="2735" width="37.28515625" bestFit="1" customWidth="1"/>
    <col min="2736" max="2736" width="36.28515625" bestFit="1" customWidth="1"/>
    <col min="2737" max="2737" width="36.85546875" bestFit="1" customWidth="1"/>
    <col min="2738" max="2738" width="36.42578125" bestFit="1" customWidth="1"/>
    <col min="2739" max="2739" width="35.85546875" bestFit="1" customWidth="1"/>
    <col min="2740" max="2740" width="36.42578125" bestFit="1" customWidth="1"/>
    <col min="2741" max="2741" width="36" bestFit="1" customWidth="1"/>
    <col min="2742" max="2742" width="36.7109375" bestFit="1" customWidth="1"/>
    <col min="2743" max="2743" width="37.7109375" bestFit="1" customWidth="1"/>
    <col min="2744" max="2744" width="37" bestFit="1" customWidth="1"/>
    <col min="2745" max="2745" width="35.42578125" bestFit="1" customWidth="1"/>
    <col min="2746" max="2747" width="37.140625" bestFit="1" customWidth="1"/>
    <col min="2748" max="2748" width="37.42578125" bestFit="1" customWidth="1"/>
    <col min="2749" max="2749" width="38" bestFit="1" customWidth="1"/>
    <col min="2750" max="2750" width="35.85546875" bestFit="1" customWidth="1"/>
    <col min="2751" max="2751" width="38.140625" bestFit="1" customWidth="1"/>
    <col min="2752" max="2752" width="37" bestFit="1" customWidth="1"/>
    <col min="2753" max="2755" width="36.42578125" bestFit="1" customWidth="1"/>
    <col min="2756" max="2756" width="37.140625" bestFit="1" customWidth="1"/>
    <col min="2757" max="2757" width="37.42578125" bestFit="1" customWidth="1"/>
    <col min="2758" max="2758" width="36.5703125" bestFit="1" customWidth="1"/>
    <col min="2759" max="2759" width="37.140625" bestFit="1" customWidth="1"/>
    <col min="2760" max="2760" width="37.28515625" bestFit="1" customWidth="1"/>
    <col min="2761" max="2761" width="36.85546875" bestFit="1" customWidth="1"/>
    <col min="2762" max="2762" width="36.28515625" bestFit="1" customWidth="1"/>
    <col min="2763" max="2763" width="36.85546875" bestFit="1" customWidth="1"/>
    <col min="2764" max="2764" width="37.42578125" bestFit="1" customWidth="1"/>
    <col min="2765" max="2765" width="37" bestFit="1" customWidth="1"/>
    <col min="2766" max="2766" width="36.5703125" bestFit="1" customWidth="1"/>
    <col min="2767" max="2767" width="36.42578125" bestFit="1" customWidth="1"/>
    <col min="2768" max="2768" width="37.140625" bestFit="1" customWidth="1"/>
    <col min="2769" max="2769" width="37.42578125" bestFit="1" customWidth="1"/>
    <col min="2770" max="2770" width="36.5703125" bestFit="1" customWidth="1"/>
    <col min="2771" max="2771" width="38" bestFit="1" customWidth="1"/>
    <col min="2772" max="2772" width="35.85546875" bestFit="1" customWidth="1"/>
    <col min="2773" max="2773" width="36" bestFit="1" customWidth="1"/>
    <col min="2774" max="2774" width="36.28515625" bestFit="1" customWidth="1"/>
    <col min="2775" max="2775" width="36.42578125" bestFit="1" customWidth="1"/>
    <col min="2776" max="2776" width="36.5703125" bestFit="1" customWidth="1"/>
    <col min="2777" max="2777" width="36.42578125" bestFit="1" customWidth="1"/>
    <col min="2778" max="2778" width="36.140625" bestFit="1" customWidth="1"/>
    <col min="2779" max="2779" width="35.85546875" bestFit="1" customWidth="1"/>
    <col min="2780" max="2780" width="37.140625" bestFit="1" customWidth="1"/>
    <col min="2781" max="2781" width="36.5703125" bestFit="1" customWidth="1"/>
    <col min="2782" max="2782" width="36.85546875" bestFit="1" customWidth="1"/>
    <col min="2783" max="2783" width="36.7109375" bestFit="1" customWidth="1"/>
    <col min="2784" max="2784" width="36.5703125" bestFit="1" customWidth="1"/>
    <col min="2785" max="2785" width="7.28515625" bestFit="1" customWidth="1"/>
    <col min="2786" max="2786" width="11.28515625" bestFit="1" customWidth="1"/>
  </cols>
  <sheetData>
    <row r="2" spans="1:2" ht="24">
      <c r="A2" s="4" t="s">
        <v>26</v>
      </c>
    </row>
    <row r="3" spans="1:2">
      <c r="A3" s="2" t="s">
        <v>25</v>
      </c>
      <c r="B3" t="s">
        <v>86</v>
      </c>
    </row>
    <row r="4" spans="1:2">
      <c r="A4" s="3" t="s">
        <v>1152</v>
      </c>
      <c r="B4" s="14">
        <v>198</v>
      </c>
    </row>
    <row r="5" spans="1:2">
      <c r="A5" s="3" t="s">
        <v>1153</v>
      </c>
      <c r="B5" s="14">
        <v>80</v>
      </c>
    </row>
    <row r="6" spans="1:2">
      <c r="A6" s="3" t="s">
        <v>1154</v>
      </c>
      <c r="B6" s="14">
        <v>75</v>
      </c>
    </row>
    <row r="7" spans="1:2">
      <c r="A7" s="3" t="s">
        <v>1155</v>
      </c>
      <c r="B7" s="14">
        <v>53</v>
      </c>
    </row>
    <row r="8" spans="1:2">
      <c r="A8" s="3" t="s">
        <v>1156</v>
      </c>
      <c r="B8" s="14">
        <v>40</v>
      </c>
    </row>
    <row r="9" spans="1:2">
      <c r="A9" s="3" t="s">
        <v>1157</v>
      </c>
      <c r="B9" s="14">
        <v>35</v>
      </c>
    </row>
    <row r="10" spans="1:2">
      <c r="A10" s="3" t="s">
        <v>1158</v>
      </c>
      <c r="B10" s="14">
        <v>29</v>
      </c>
    </row>
    <row r="11" spans="1:2">
      <c r="A11" s="3" t="s">
        <v>1159</v>
      </c>
      <c r="B11" s="14">
        <v>27</v>
      </c>
    </row>
    <row r="12" spans="1:2">
      <c r="A12" s="3" t="s">
        <v>1160</v>
      </c>
      <c r="B12" s="14">
        <v>23</v>
      </c>
    </row>
    <row r="13" spans="1:2">
      <c r="A13" s="3" t="s">
        <v>1161</v>
      </c>
      <c r="B13" s="14">
        <v>21</v>
      </c>
    </row>
    <row r="14" spans="1:2">
      <c r="A14" s="3" t="s">
        <v>1162</v>
      </c>
      <c r="B14" s="14">
        <v>20</v>
      </c>
    </row>
    <row r="15" spans="1:2">
      <c r="A15" s="3" t="s">
        <v>1163</v>
      </c>
      <c r="B15" s="14">
        <v>19</v>
      </c>
    </row>
    <row r="16" spans="1:2">
      <c r="A16" s="3" t="s">
        <v>1164</v>
      </c>
      <c r="B16" s="14">
        <v>19</v>
      </c>
    </row>
    <row r="17" spans="1:2">
      <c r="A17" s="3" t="s">
        <v>1165</v>
      </c>
      <c r="B17" s="14">
        <v>19</v>
      </c>
    </row>
    <row r="18" spans="1:2">
      <c r="A18" s="3" t="s">
        <v>1166</v>
      </c>
      <c r="B18" s="14">
        <v>18</v>
      </c>
    </row>
    <row r="19" spans="1:2">
      <c r="A19" s="3" t="s">
        <v>1167</v>
      </c>
      <c r="B19" s="14">
        <v>16</v>
      </c>
    </row>
    <row r="20" spans="1:2">
      <c r="A20" s="3" t="s">
        <v>1168</v>
      </c>
      <c r="B20" s="14">
        <v>16</v>
      </c>
    </row>
    <row r="21" spans="1:2">
      <c r="A21" s="3" t="s">
        <v>1169</v>
      </c>
      <c r="B21" s="14">
        <v>10</v>
      </c>
    </row>
    <row r="22" spans="1:2">
      <c r="A22" s="3" t="s">
        <v>1170</v>
      </c>
      <c r="B22" s="14">
        <v>10</v>
      </c>
    </row>
    <row r="23" spans="1:2">
      <c r="A23" s="3" t="s">
        <v>1171</v>
      </c>
      <c r="B23" s="14">
        <v>9</v>
      </c>
    </row>
    <row r="24" spans="1:2">
      <c r="A24" s="3" t="s">
        <v>1172</v>
      </c>
      <c r="B24" s="14">
        <v>8</v>
      </c>
    </row>
    <row r="25" spans="1:2">
      <c r="A25" s="3" t="s">
        <v>1173</v>
      </c>
      <c r="B25" s="14">
        <v>7</v>
      </c>
    </row>
    <row r="26" spans="1:2">
      <c r="A26" s="3" t="s">
        <v>1174</v>
      </c>
      <c r="B26" s="14">
        <v>6</v>
      </c>
    </row>
    <row r="27" spans="1:2">
      <c r="A27" s="3" t="s">
        <v>1175</v>
      </c>
      <c r="B27" s="14">
        <v>6</v>
      </c>
    </row>
    <row r="28" spans="1:2">
      <c r="A28" s="3" t="s">
        <v>1176</v>
      </c>
      <c r="B28" s="14">
        <v>5</v>
      </c>
    </row>
    <row r="29" spans="1:2">
      <c r="A29" s="3" t="s">
        <v>1177</v>
      </c>
      <c r="B29" s="14">
        <v>5</v>
      </c>
    </row>
    <row r="30" spans="1:2">
      <c r="A30" s="3" t="s">
        <v>1178</v>
      </c>
      <c r="B30" s="14">
        <v>5</v>
      </c>
    </row>
    <row r="31" spans="1:2">
      <c r="A31" s="3" t="s">
        <v>1179</v>
      </c>
      <c r="B31" s="14">
        <v>4</v>
      </c>
    </row>
    <row r="32" spans="1:2">
      <c r="A32" s="3" t="s">
        <v>1180</v>
      </c>
      <c r="B32" s="14">
        <v>4</v>
      </c>
    </row>
    <row r="33" spans="1:2">
      <c r="A33" s="3" t="s">
        <v>1181</v>
      </c>
      <c r="B33" s="14">
        <v>3</v>
      </c>
    </row>
    <row r="34" spans="1:2">
      <c r="A34" s="3" t="s">
        <v>1182</v>
      </c>
      <c r="B34" s="14">
        <v>3</v>
      </c>
    </row>
    <row r="35" spans="1:2">
      <c r="A35" s="3" t="s">
        <v>1183</v>
      </c>
      <c r="B35" s="14">
        <v>2</v>
      </c>
    </row>
    <row r="36" spans="1:2">
      <c r="A36" s="3" t="s">
        <v>1184</v>
      </c>
      <c r="B36" s="14">
        <v>2</v>
      </c>
    </row>
    <row r="37" spans="1:2">
      <c r="A37" s="3" t="s">
        <v>1185</v>
      </c>
      <c r="B37" s="14">
        <v>2</v>
      </c>
    </row>
    <row r="38" spans="1:2">
      <c r="A38" s="3" t="s">
        <v>1186</v>
      </c>
      <c r="B38" s="14">
        <v>2</v>
      </c>
    </row>
    <row r="39" spans="1:2">
      <c r="A39" s="3" t="s">
        <v>1187</v>
      </c>
      <c r="B39" s="14">
        <v>1</v>
      </c>
    </row>
    <row r="40" spans="1:2">
      <c r="A40" s="3" t="s">
        <v>1188</v>
      </c>
      <c r="B40" s="14">
        <v>1</v>
      </c>
    </row>
    <row r="41" spans="1:2">
      <c r="A41" s="3" t="s">
        <v>1189</v>
      </c>
      <c r="B41" s="14">
        <v>1</v>
      </c>
    </row>
    <row r="42" spans="1:2">
      <c r="A42" s="3" t="s">
        <v>1190</v>
      </c>
      <c r="B42" s="14">
        <v>1</v>
      </c>
    </row>
    <row r="43" spans="1:2">
      <c r="A43" s="3" t="s">
        <v>1191</v>
      </c>
      <c r="B43" s="14">
        <v>1</v>
      </c>
    </row>
    <row r="44" spans="1:2">
      <c r="A44" s="3" t="s">
        <v>23</v>
      </c>
      <c r="B44" s="14">
        <v>806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A518-3199-4094-9CE9-8C68E483ACA8}">
  <dimension ref="A2:B175"/>
  <sheetViews>
    <sheetView workbookViewId="0"/>
  </sheetViews>
  <sheetFormatPr defaultRowHeight="15"/>
  <cols>
    <col min="1" max="1" width="27.5703125" bestFit="1" customWidth="1"/>
    <col min="2" max="2" width="11" bestFit="1" customWidth="1"/>
  </cols>
  <sheetData>
    <row r="2" spans="1:2" ht="24">
      <c r="A2" s="4" t="s">
        <v>27</v>
      </c>
    </row>
    <row r="3" spans="1:2">
      <c r="A3" s="2" t="s">
        <v>22</v>
      </c>
      <c r="B3" t="s">
        <v>24</v>
      </c>
    </row>
    <row r="4" spans="1:2">
      <c r="A4" s="3" t="s">
        <v>14</v>
      </c>
      <c r="B4" s="14">
        <v>79</v>
      </c>
    </row>
    <row r="5" spans="1:2">
      <c r="A5" s="3" t="s">
        <v>13</v>
      </c>
      <c r="B5" s="14">
        <v>74</v>
      </c>
    </row>
    <row r="6" spans="1:2">
      <c r="A6" s="3" t="s">
        <v>186</v>
      </c>
      <c r="B6" s="14">
        <v>64</v>
      </c>
    </row>
    <row r="7" spans="1:2">
      <c r="A7" s="3" t="s">
        <v>493</v>
      </c>
      <c r="B7" s="14">
        <v>63</v>
      </c>
    </row>
    <row r="8" spans="1:2">
      <c r="A8" s="3" t="s">
        <v>229</v>
      </c>
      <c r="B8" s="14">
        <v>52</v>
      </c>
    </row>
    <row r="9" spans="1:2">
      <c r="A9" s="3" t="s">
        <v>302</v>
      </c>
      <c r="B9" s="14">
        <v>29</v>
      </c>
    </row>
    <row r="10" spans="1:2">
      <c r="A10" s="3" t="s">
        <v>12</v>
      </c>
      <c r="B10" s="14">
        <v>28</v>
      </c>
    </row>
    <row r="11" spans="1:2">
      <c r="A11" s="3" t="s">
        <v>7</v>
      </c>
      <c r="B11" s="14">
        <v>26</v>
      </c>
    </row>
    <row r="12" spans="1:2">
      <c r="A12" s="3" t="s">
        <v>10</v>
      </c>
      <c r="B12" s="14">
        <v>24</v>
      </c>
    </row>
    <row r="13" spans="1:2">
      <c r="A13" s="3" t="s">
        <v>309</v>
      </c>
      <c r="B13" s="14">
        <v>17</v>
      </c>
    </row>
    <row r="14" spans="1:2">
      <c r="A14" s="3" t="s">
        <v>250</v>
      </c>
      <c r="B14" s="14">
        <v>15</v>
      </c>
    </row>
    <row r="15" spans="1:2">
      <c r="A15" s="3" t="s">
        <v>20</v>
      </c>
      <c r="B15" s="14">
        <v>15</v>
      </c>
    </row>
    <row r="16" spans="1:2">
      <c r="A16" s="3" t="s">
        <v>298</v>
      </c>
      <c r="B16" s="14">
        <v>13</v>
      </c>
    </row>
    <row r="17" spans="1:2">
      <c r="A17" s="3" t="s">
        <v>516</v>
      </c>
      <c r="B17" s="14">
        <v>12</v>
      </c>
    </row>
    <row r="18" spans="1:2">
      <c r="A18" s="3" t="s">
        <v>129</v>
      </c>
      <c r="B18" s="14">
        <v>11</v>
      </c>
    </row>
    <row r="19" spans="1:2">
      <c r="A19" s="3" t="s">
        <v>193</v>
      </c>
      <c r="B19" s="14">
        <v>11</v>
      </c>
    </row>
    <row r="20" spans="1:2">
      <c r="A20" s="3" t="s">
        <v>375</v>
      </c>
      <c r="B20" s="14">
        <v>10</v>
      </c>
    </row>
    <row r="21" spans="1:2">
      <c r="A21" s="3" t="s">
        <v>144</v>
      </c>
      <c r="B21" s="14">
        <v>10</v>
      </c>
    </row>
    <row r="22" spans="1:2">
      <c r="A22" s="3" t="s">
        <v>701</v>
      </c>
      <c r="B22" s="14">
        <v>9</v>
      </c>
    </row>
    <row r="23" spans="1:2">
      <c r="A23" s="3" t="s">
        <v>211</v>
      </c>
      <c r="B23" s="14">
        <v>9</v>
      </c>
    </row>
    <row r="24" spans="1:2">
      <c r="A24" s="3" t="s">
        <v>15</v>
      </c>
      <c r="B24" s="14">
        <v>8</v>
      </c>
    </row>
    <row r="25" spans="1:2">
      <c r="A25" s="3" t="s">
        <v>815</v>
      </c>
      <c r="B25" s="14">
        <v>8</v>
      </c>
    </row>
    <row r="26" spans="1:2">
      <c r="A26" s="3" t="s">
        <v>328</v>
      </c>
      <c r="B26" s="14">
        <v>8</v>
      </c>
    </row>
    <row r="27" spans="1:2">
      <c r="A27" s="3" t="s">
        <v>387</v>
      </c>
      <c r="B27" s="14">
        <v>7</v>
      </c>
    </row>
    <row r="28" spans="1:2">
      <c r="A28" s="3" t="s">
        <v>182</v>
      </c>
      <c r="B28" s="14">
        <v>7</v>
      </c>
    </row>
    <row r="29" spans="1:2">
      <c r="A29" s="3" t="s">
        <v>162</v>
      </c>
      <c r="B29" s="14">
        <v>6</v>
      </c>
    </row>
    <row r="30" spans="1:2">
      <c r="A30" s="3" t="s">
        <v>167</v>
      </c>
      <c r="B30" s="14">
        <v>6</v>
      </c>
    </row>
    <row r="31" spans="1:2">
      <c r="A31" s="3" t="s">
        <v>794</v>
      </c>
      <c r="B31" s="14">
        <v>5</v>
      </c>
    </row>
    <row r="32" spans="1:2">
      <c r="A32" s="3" t="s">
        <v>716</v>
      </c>
      <c r="B32" s="14">
        <v>5</v>
      </c>
    </row>
    <row r="33" spans="1:2">
      <c r="A33" s="3" t="s">
        <v>661</v>
      </c>
      <c r="B33" s="14">
        <v>5</v>
      </c>
    </row>
    <row r="34" spans="1:2">
      <c r="A34" s="3" t="s">
        <v>692</v>
      </c>
      <c r="B34" s="14">
        <v>5</v>
      </c>
    </row>
    <row r="35" spans="1:2">
      <c r="A35" s="3" t="s">
        <v>275</v>
      </c>
      <c r="B35" s="14">
        <v>5</v>
      </c>
    </row>
    <row r="36" spans="1:2">
      <c r="A36" s="3" t="s">
        <v>1079</v>
      </c>
      <c r="B36" s="14">
        <v>4</v>
      </c>
    </row>
    <row r="37" spans="1:2">
      <c r="A37" s="3" t="s">
        <v>364</v>
      </c>
      <c r="B37" s="14">
        <v>4</v>
      </c>
    </row>
    <row r="38" spans="1:2">
      <c r="A38" s="3" t="s">
        <v>826</v>
      </c>
      <c r="B38" s="14">
        <v>4</v>
      </c>
    </row>
    <row r="39" spans="1:2">
      <c r="A39" s="3" t="s">
        <v>8</v>
      </c>
      <c r="B39" s="14">
        <v>4</v>
      </c>
    </row>
    <row r="40" spans="1:2">
      <c r="A40" s="3" t="s">
        <v>294</v>
      </c>
      <c r="B40" s="14">
        <v>4</v>
      </c>
    </row>
    <row r="41" spans="1:2">
      <c r="A41" s="3" t="s">
        <v>201</v>
      </c>
      <c r="B41" s="14">
        <v>4</v>
      </c>
    </row>
    <row r="42" spans="1:2">
      <c r="A42" s="3" t="s">
        <v>401</v>
      </c>
      <c r="B42" s="14">
        <v>4</v>
      </c>
    </row>
    <row r="43" spans="1:2">
      <c r="A43" s="3">
        <v>2504567</v>
      </c>
      <c r="B43" s="14">
        <v>4</v>
      </c>
    </row>
    <row r="44" spans="1:2">
      <c r="A44" s="3" t="s">
        <v>1092</v>
      </c>
      <c r="B44" s="14">
        <v>3</v>
      </c>
    </row>
    <row r="45" spans="1:2">
      <c r="A45" s="3" t="s">
        <v>904</v>
      </c>
      <c r="B45" s="14">
        <v>3</v>
      </c>
    </row>
    <row r="46" spans="1:2">
      <c r="A46" s="3">
        <v>2504945</v>
      </c>
      <c r="B46" s="14">
        <v>3</v>
      </c>
    </row>
    <row r="47" spans="1:2">
      <c r="A47" s="3" t="s">
        <v>952</v>
      </c>
      <c r="B47" s="14">
        <v>3</v>
      </c>
    </row>
    <row r="48" spans="1:2">
      <c r="A48" s="3" t="s">
        <v>416</v>
      </c>
      <c r="B48" s="14">
        <v>3</v>
      </c>
    </row>
    <row r="49" spans="1:2">
      <c r="A49" s="3" t="s">
        <v>626</v>
      </c>
      <c r="B49" s="14">
        <v>3</v>
      </c>
    </row>
    <row r="50" spans="1:2">
      <c r="A50" s="3" t="s">
        <v>1119</v>
      </c>
      <c r="B50" s="14">
        <v>3</v>
      </c>
    </row>
    <row r="51" spans="1:2">
      <c r="A51" s="3" t="s">
        <v>1206</v>
      </c>
      <c r="B51" s="14">
        <v>3</v>
      </c>
    </row>
    <row r="52" spans="1:2">
      <c r="A52" s="3" t="s">
        <v>812</v>
      </c>
      <c r="B52" s="14">
        <v>3</v>
      </c>
    </row>
    <row r="53" spans="1:2">
      <c r="A53" s="3" t="s">
        <v>1035</v>
      </c>
      <c r="B53" s="14">
        <v>2</v>
      </c>
    </row>
    <row r="54" spans="1:2">
      <c r="A54" s="3" t="s">
        <v>290</v>
      </c>
      <c r="B54" s="14">
        <v>2</v>
      </c>
    </row>
    <row r="55" spans="1:2">
      <c r="A55" s="3" t="s">
        <v>315</v>
      </c>
      <c r="B55" s="14">
        <v>2</v>
      </c>
    </row>
    <row r="56" spans="1:2">
      <c r="A56" s="3" t="s">
        <v>757</v>
      </c>
      <c r="B56" s="14">
        <v>2</v>
      </c>
    </row>
    <row r="57" spans="1:2">
      <c r="A57" s="3" t="s">
        <v>945</v>
      </c>
      <c r="B57" s="14">
        <v>2</v>
      </c>
    </row>
    <row r="58" spans="1:2">
      <c r="A58" s="3" t="s">
        <v>762</v>
      </c>
      <c r="B58" s="14">
        <v>2</v>
      </c>
    </row>
    <row r="59" spans="1:2">
      <c r="A59" s="3" t="s">
        <v>1058</v>
      </c>
      <c r="B59" s="14">
        <v>2</v>
      </c>
    </row>
    <row r="60" spans="1:2">
      <c r="A60" s="3" t="s">
        <v>773</v>
      </c>
      <c r="B60" s="14">
        <v>2</v>
      </c>
    </row>
    <row r="61" spans="1:2">
      <c r="A61" s="3" t="s">
        <v>260</v>
      </c>
      <c r="B61" s="14">
        <v>2</v>
      </c>
    </row>
    <row r="62" spans="1:2">
      <c r="A62" s="3" t="s">
        <v>189</v>
      </c>
      <c r="B62" s="14">
        <v>2</v>
      </c>
    </row>
    <row r="63" spans="1:2">
      <c r="A63" s="3" t="s">
        <v>908</v>
      </c>
      <c r="B63" s="14">
        <v>2</v>
      </c>
    </row>
    <row r="64" spans="1:2">
      <c r="A64" s="3" t="s">
        <v>808</v>
      </c>
      <c r="B64" s="14">
        <v>2</v>
      </c>
    </row>
    <row r="65" spans="1:2">
      <c r="A65" s="3" t="s">
        <v>1028</v>
      </c>
      <c r="B65" s="14">
        <v>2</v>
      </c>
    </row>
    <row r="66" spans="1:2">
      <c r="A66" s="3">
        <v>25203826</v>
      </c>
      <c r="B66" s="14">
        <v>2</v>
      </c>
    </row>
    <row r="67" spans="1:2">
      <c r="A67" s="3" t="s">
        <v>1037</v>
      </c>
      <c r="B67" s="14">
        <v>2</v>
      </c>
    </row>
    <row r="68" spans="1:2">
      <c r="A68" s="3" t="s">
        <v>287</v>
      </c>
      <c r="B68" s="14">
        <v>2</v>
      </c>
    </row>
    <row r="69" spans="1:2">
      <c r="A69" s="3" t="s">
        <v>657</v>
      </c>
      <c r="B69" s="14">
        <v>2</v>
      </c>
    </row>
    <row r="70" spans="1:2">
      <c r="A70" s="3" t="s">
        <v>179</v>
      </c>
      <c r="B70" s="14">
        <v>2</v>
      </c>
    </row>
    <row r="71" spans="1:2">
      <c r="A71" s="3" t="s">
        <v>1101</v>
      </c>
      <c r="B71" s="14">
        <v>2</v>
      </c>
    </row>
    <row r="72" spans="1:2">
      <c r="A72" s="3" t="s">
        <v>842</v>
      </c>
      <c r="B72" s="14">
        <v>2</v>
      </c>
    </row>
    <row r="73" spans="1:2">
      <c r="A73" s="3" t="s">
        <v>1142</v>
      </c>
      <c r="B73" s="14">
        <v>2</v>
      </c>
    </row>
    <row r="74" spans="1:2">
      <c r="A74" s="3" t="s">
        <v>850</v>
      </c>
      <c r="B74" s="14">
        <v>2</v>
      </c>
    </row>
    <row r="75" spans="1:2">
      <c r="A75" s="3" t="s">
        <v>533</v>
      </c>
      <c r="B75" s="14">
        <v>2</v>
      </c>
    </row>
    <row r="76" spans="1:2">
      <c r="A76" s="3" t="s">
        <v>541</v>
      </c>
      <c r="B76" s="14">
        <v>2</v>
      </c>
    </row>
    <row r="77" spans="1:2">
      <c r="A77" s="3" t="s">
        <v>998</v>
      </c>
      <c r="B77" s="14">
        <v>1</v>
      </c>
    </row>
    <row r="78" spans="1:2">
      <c r="A78" s="3" t="s">
        <v>1242</v>
      </c>
      <c r="B78" s="14">
        <v>1</v>
      </c>
    </row>
    <row r="79" spans="1:2">
      <c r="A79" s="3" t="s">
        <v>1117</v>
      </c>
      <c r="B79" s="14">
        <v>1</v>
      </c>
    </row>
    <row r="80" spans="1:2">
      <c r="A80" s="3">
        <v>25</v>
      </c>
      <c r="B80" s="14">
        <v>1</v>
      </c>
    </row>
    <row r="81" spans="1:2">
      <c r="A81" s="3" t="s">
        <v>923</v>
      </c>
      <c r="B81" s="14">
        <v>1</v>
      </c>
    </row>
    <row r="82" spans="1:2">
      <c r="A82" s="3">
        <v>2504317</v>
      </c>
      <c r="B82" s="14">
        <v>1</v>
      </c>
    </row>
    <row r="83" spans="1:2">
      <c r="A83" s="3" t="s">
        <v>1053</v>
      </c>
      <c r="B83" s="14">
        <v>1</v>
      </c>
    </row>
    <row r="84" spans="1:2">
      <c r="A84" s="3" t="s">
        <v>466</v>
      </c>
      <c r="B84" s="14">
        <v>1</v>
      </c>
    </row>
    <row r="85" spans="1:2">
      <c r="A85" s="3" t="s">
        <v>440</v>
      </c>
      <c r="B85" s="14">
        <v>1</v>
      </c>
    </row>
    <row r="86" spans="1:2">
      <c r="A86" s="3" t="s">
        <v>471</v>
      </c>
      <c r="B86" s="14">
        <v>1</v>
      </c>
    </row>
    <row r="87" spans="1:2">
      <c r="A87" s="3" t="s">
        <v>857</v>
      </c>
      <c r="B87" s="14">
        <v>1</v>
      </c>
    </row>
    <row r="88" spans="1:2">
      <c r="A88" s="3" t="s">
        <v>480</v>
      </c>
      <c r="B88" s="14">
        <v>1</v>
      </c>
    </row>
    <row r="89" spans="1:2">
      <c r="A89" s="3" t="s">
        <v>385</v>
      </c>
      <c r="B89" s="14">
        <v>1</v>
      </c>
    </row>
    <row r="90" spans="1:2">
      <c r="A90" s="3" t="s">
        <v>484</v>
      </c>
      <c r="B90" s="14">
        <v>1</v>
      </c>
    </row>
    <row r="91" spans="1:2">
      <c r="A91" s="3" t="s">
        <v>141</v>
      </c>
      <c r="B91" s="14">
        <v>1</v>
      </c>
    </row>
    <row r="92" spans="1:2">
      <c r="A92" s="3" t="s">
        <v>497</v>
      </c>
      <c r="B92" s="14">
        <v>1</v>
      </c>
    </row>
    <row r="93" spans="1:2">
      <c r="A93" s="3" t="s">
        <v>254</v>
      </c>
      <c r="B93" s="14">
        <v>1</v>
      </c>
    </row>
    <row r="94" spans="1:2">
      <c r="A94" s="3" t="s">
        <v>938</v>
      </c>
      <c r="B94" s="14">
        <v>1</v>
      </c>
    </row>
    <row r="95" spans="1:2">
      <c r="A95" s="3" t="s">
        <v>438</v>
      </c>
      <c r="B95" s="14">
        <v>1</v>
      </c>
    </row>
    <row r="96" spans="1:2">
      <c r="A96" s="3" t="s">
        <v>528</v>
      </c>
      <c r="B96" s="14">
        <v>1</v>
      </c>
    </row>
    <row r="97" spans="1:2">
      <c r="A97" s="3" t="s">
        <v>1225</v>
      </c>
      <c r="B97" s="14">
        <v>1</v>
      </c>
    </row>
    <row r="98" spans="1:2">
      <c r="A98" s="3" t="s">
        <v>530</v>
      </c>
      <c r="B98" s="14">
        <v>1</v>
      </c>
    </row>
    <row r="99" spans="1:2">
      <c r="A99" s="3" t="s">
        <v>370</v>
      </c>
      <c r="B99" s="14">
        <v>1</v>
      </c>
    </row>
    <row r="100" spans="1:2">
      <c r="A100" s="3" t="s">
        <v>267</v>
      </c>
      <c r="B100" s="14">
        <v>1</v>
      </c>
    </row>
    <row r="101" spans="1:2">
      <c r="A101" s="3" t="s">
        <v>240</v>
      </c>
      <c r="B101" s="14">
        <v>1</v>
      </c>
    </row>
    <row r="102" spans="1:2">
      <c r="A102" s="3" t="s">
        <v>272</v>
      </c>
      <c r="B102" s="14">
        <v>1</v>
      </c>
    </row>
    <row r="103" spans="1:2">
      <c r="A103" s="3" t="s">
        <v>927</v>
      </c>
      <c r="B103" s="14">
        <v>1</v>
      </c>
    </row>
    <row r="104" spans="1:2">
      <c r="A104" s="3" t="s">
        <v>543</v>
      </c>
      <c r="B104" s="14">
        <v>1</v>
      </c>
    </row>
    <row r="105" spans="1:2">
      <c r="A105" s="3" t="s">
        <v>975</v>
      </c>
      <c r="B105" s="14">
        <v>1</v>
      </c>
    </row>
    <row r="106" spans="1:2">
      <c r="A106" s="3" t="s">
        <v>553</v>
      </c>
      <c r="B106" s="14">
        <v>1</v>
      </c>
    </row>
    <row r="107" spans="1:2">
      <c r="A107" s="3" t="s">
        <v>1017</v>
      </c>
      <c r="B107" s="14">
        <v>1</v>
      </c>
    </row>
    <row r="108" spans="1:2">
      <c r="A108" s="3" t="s">
        <v>570</v>
      </c>
      <c r="B108" s="14">
        <v>1</v>
      </c>
    </row>
    <row r="109" spans="1:2">
      <c r="A109" s="3" t="s">
        <v>406</v>
      </c>
      <c r="B109" s="14">
        <v>1</v>
      </c>
    </row>
    <row r="110" spans="1:2">
      <c r="A110" s="3" t="s">
        <v>576</v>
      </c>
      <c r="B110" s="14">
        <v>1</v>
      </c>
    </row>
    <row r="111" spans="1:2">
      <c r="A111" s="3" t="s">
        <v>1074</v>
      </c>
      <c r="B111" s="14">
        <v>1</v>
      </c>
    </row>
    <row r="112" spans="1:2">
      <c r="A112" s="3">
        <v>2505390</v>
      </c>
      <c r="B112" s="14">
        <v>1</v>
      </c>
    </row>
    <row r="113" spans="1:2">
      <c r="A113" s="3" t="s">
        <v>1113</v>
      </c>
      <c r="B113" s="14">
        <v>1</v>
      </c>
    </row>
    <row r="114" spans="1:2">
      <c r="A114" s="3" t="s">
        <v>582</v>
      </c>
      <c r="B114" s="14">
        <v>1</v>
      </c>
    </row>
    <row r="115" spans="1:2">
      <c r="A115" s="3" t="s">
        <v>1122</v>
      </c>
      <c r="B115" s="14">
        <v>1</v>
      </c>
    </row>
    <row r="116" spans="1:2">
      <c r="A116" s="3">
        <v>2505236</v>
      </c>
      <c r="B116" s="14">
        <v>1</v>
      </c>
    </row>
    <row r="117" spans="1:2">
      <c r="A117" s="3" t="s">
        <v>1146</v>
      </c>
      <c r="B117" s="14">
        <v>1</v>
      </c>
    </row>
    <row r="118" spans="1:2">
      <c r="A118" s="3">
        <v>25208447</v>
      </c>
      <c r="B118" s="14">
        <v>1</v>
      </c>
    </row>
    <row r="119" spans="1:2">
      <c r="A119" s="3" t="s">
        <v>1213</v>
      </c>
      <c r="B119" s="14">
        <v>1</v>
      </c>
    </row>
    <row r="120" spans="1:2">
      <c r="A120" s="3" t="s">
        <v>609</v>
      </c>
      <c r="B120" s="14">
        <v>1</v>
      </c>
    </row>
    <row r="121" spans="1:2">
      <c r="A121" s="3" t="s">
        <v>1233</v>
      </c>
      <c r="B121" s="14">
        <v>1</v>
      </c>
    </row>
    <row r="122" spans="1:2">
      <c r="A122" s="3" t="s">
        <v>622</v>
      </c>
      <c r="B122" s="14">
        <v>1</v>
      </c>
    </row>
    <row r="123" spans="1:2">
      <c r="A123" s="3" t="s">
        <v>1247</v>
      </c>
      <c r="B123" s="14">
        <v>1</v>
      </c>
    </row>
    <row r="124" spans="1:2">
      <c r="A124" s="3" t="s">
        <v>17</v>
      </c>
      <c r="B124" s="14">
        <v>1</v>
      </c>
    </row>
    <row r="125" spans="1:2">
      <c r="A125" s="3" t="s">
        <v>854</v>
      </c>
      <c r="B125" s="14">
        <v>1</v>
      </c>
    </row>
    <row r="126" spans="1:2">
      <c r="A126" s="3" t="s">
        <v>283</v>
      </c>
      <c r="B126" s="14">
        <v>1</v>
      </c>
    </row>
    <row r="127" spans="1:2">
      <c r="A127" s="3" t="s">
        <v>896</v>
      </c>
      <c r="B127" s="14">
        <v>1</v>
      </c>
    </row>
    <row r="128" spans="1:2">
      <c r="A128" s="3">
        <v>25211480</v>
      </c>
      <c r="B128" s="14">
        <v>1</v>
      </c>
    </row>
    <row r="129" spans="1:2">
      <c r="A129" s="3" t="s">
        <v>382</v>
      </c>
      <c r="B129" s="14">
        <v>1</v>
      </c>
    </row>
    <row r="130" spans="1:2">
      <c r="A130" s="3" t="s">
        <v>285</v>
      </c>
      <c r="B130" s="14">
        <v>1</v>
      </c>
    </row>
    <row r="131" spans="1:2">
      <c r="A131" s="3" t="s">
        <v>925</v>
      </c>
      <c r="B131" s="14">
        <v>1</v>
      </c>
    </row>
    <row r="132" spans="1:2">
      <c r="A132" s="3" t="s">
        <v>659</v>
      </c>
      <c r="B132" s="14">
        <v>1</v>
      </c>
    </row>
    <row r="133" spans="1:2">
      <c r="A133" s="3" t="s">
        <v>943</v>
      </c>
      <c r="B133" s="14">
        <v>1</v>
      </c>
    </row>
    <row r="134" spans="1:2">
      <c r="A134" s="3" t="s">
        <v>165</v>
      </c>
      <c r="B134" s="14">
        <v>1</v>
      </c>
    </row>
    <row r="135" spans="1:2">
      <c r="A135" s="3" t="s">
        <v>963</v>
      </c>
      <c r="B135" s="14">
        <v>1</v>
      </c>
    </row>
    <row r="136" spans="1:2">
      <c r="A136" s="3" t="s">
        <v>392</v>
      </c>
      <c r="B136" s="14">
        <v>1</v>
      </c>
    </row>
    <row r="137" spans="1:2">
      <c r="A137" s="3" t="s">
        <v>984</v>
      </c>
      <c r="B137" s="14">
        <v>1</v>
      </c>
    </row>
    <row r="138" spans="1:2">
      <c r="A138" s="3">
        <v>2505660</v>
      </c>
      <c r="B138" s="14">
        <v>1</v>
      </c>
    </row>
    <row r="139" spans="1:2">
      <c r="A139" s="3" t="s">
        <v>1015</v>
      </c>
      <c r="B139" s="14">
        <v>1</v>
      </c>
    </row>
    <row r="140" spans="1:2">
      <c r="A140" s="3" t="s">
        <v>709</v>
      </c>
      <c r="B140" s="14">
        <v>1</v>
      </c>
    </row>
    <row r="141" spans="1:2">
      <c r="A141" s="3" t="s">
        <v>1022</v>
      </c>
      <c r="B141" s="14">
        <v>1</v>
      </c>
    </row>
    <row r="142" spans="1:2">
      <c r="A142" s="3" t="s">
        <v>711</v>
      </c>
      <c r="B142" s="14">
        <v>1</v>
      </c>
    </row>
    <row r="143" spans="1:2">
      <c r="A143" s="3" t="s">
        <v>252</v>
      </c>
      <c r="B143" s="14">
        <v>1</v>
      </c>
    </row>
    <row r="144" spans="1:2">
      <c r="A144" s="3" t="s">
        <v>207</v>
      </c>
      <c r="B144" s="14">
        <v>1</v>
      </c>
    </row>
    <row r="145" spans="1:2">
      <c r="A145" s="3" t="s">
        <v>1039</v>
      </c>
      <c r="B145" s="14">
        <v>1</v>
      </c>
    </row>
    <row r="146" spans="1:2">
      <c r="A146" s="3" t="s">
        <v>744</v>
      </c>
      <c r="B146" s="14">
        <v>1</v>
      </c>
    </row>
    <row r="147" spans="1:2">
      <c r="A147" s="3" t="s">
        <v>410</v>
      </c>
      <c r="B147" s="14">
        <v>1</v>
      </c>
    </row>
    <row r="148" spans="1:2">
      <c r="A148" s="3" t="s">
        <v>209</v>
      </c>
      <c r="B148" s="14">
        <v>1</v>
      </c>
    </row>
    <row r="149" spans="1:2">
      <c r="A149" s="3">
        <v>2504795</v>
      </c>
      <c r="B149" s="14">
        <v>1</v>
      </c>
    </row>
    <row r="150" spans="1:2">
      <c r="A150" s="3">
        <v>25154601</v>
      </c>
      <c r="B150" s="14">
        <v>1</v>
      </c>
    </row>
    <row r="151" spans="1:2">
      <c r="A151" s="3" t="s">
        <v>432</v>
      </c>
      <c r="B151" s="14">
        <v>1</v>
      </c>
    </row>
    <row r="152" spans="1:2">
      <c r="A152" s="3">
        <v>25151671</v>
      </c>
      <c r="B152" s="14">
        <v>1</v>
      </c>
    </row>
    <row r="153" spans="1:2">
      <c r="A153" s="3" t="s">
        <v>1115</v>
      </c>
      <c r="B153" s="14">
        <v>1</v>
      </c>
    </row>
    <row r="154" spans="1:2">
      <c r="A154" s="3" t="s">
        <v>786</v>
      </c>
      <c r="B154" s="14">
        <v>1</v>
      </c>
    </row>
    <row r="155" spans="1:2">
      <c r="A155" s="3" t="s">
        <v>434</v>
      </c>
      <c r="B155" s="14">
        <v>1</v>
      </c>
    </row>
    <row r="156" spans="1:2">
      <c r="A156" s="3" t="s">
        <v>334</v>
      </c>
      <c r="B156" s="14">
        <v>1</v>
      </c>
    </row>
    <row r="157" spans="1:2">
      <c r="A157" s="3" t="s">
        <v>1129</v>
      </c>
      <c r="B157" s="14">
        <v>1</v>
      </c>
    </row>
    <row r="158" spans="1:2">
      <c r="A158" s="3" t="s">
        <v>336</v>
      </c>
      <c r="B158" s="14">
        <v>1</v>
      </c>
    </row>
    <row r="159" spans="1:2">
      <c r="A159" s="3" t="s">
        <v>1144</v>
      </c>
      <c r="B159" s="14">
        <v>1</v>
      </c>
    </row>
    <row r="160" spans="1:2">
      <c r="A160" s="3" t="s">
        <v>236</v>
      </c>
      <c r="B160" s="14">
        <v>1</v>
      </c>
    </row>
    <row r="161" spans="1:2">
      <c r="A161" s="3" t="s">
        <v>1149</v>
      </c>
      <c r="B161" s="14">
        <v>1</v>
      </c>
    </row>
    <row r="162" spans="1:2">
      <c r="A162" s="3" t="s">
        <v>361</v>
      </c>
      <c r="B162" s="14">
        <v>1</v>
      </c>
    </row>
    <row r="163" spans="1:2">
      <c r="A163" s="3" t="s">
        <v>1211</v>
      </c>
      <c r="B163" s="14">
        <v>1</v>
      </c>
    </row>
    <row r="164" spans="1:2">
      <c r="A164" s="3" t="s">
        <v>824</v>
      </c>
      <c r="B164" s="14">
        <v>1</v>
      </c>
    </row>
    <row r="165" spans="1:2">
      <c r="A165" s="3" t="s">
        <v>1216</v>
      </c>
      <c r="B165" s="14">
        <v>1</v>
      </c>
    </row>
    <row r="166" spans="1:2">
      <c r="A166" s="3" t="s">
        <v>366</v>
      </c>
      <c r="B166" s="14">
        <v>1</v>
      </c>
    </row>
    <row r="167" spans="1:2">
      <c r="A167" s="3" t="s">
        <v>1227</v>
      </c>
      <c r="B167" s="14">
        <v>1</v>
      </c>
    </row>
    <row r="168" spans="1:2">
      <c r="A168" s="3">
        <v>2505929</v>
      </c>
      <c r="B168" s="14">
        <v>1</v>
      </c>
    </row>
    <row r="169" spans="1:2">
      <c r="A169" s="3" t="s">
        <v>1236</v>
      </c>
      <c r="B169" s="14">
        <v>1</v>
      </c>
    </row>
    <row r="170" spans="1:2">
      <c r="A170" s="3" t="s">
        <v>368</v>
      </c>
      <c r="B170" s="14">
        <v>1</v>
      </c>
    </row>
    <row r="171" spans="1:2">
      <c r="A171" s="3" t="s">
        <v>1245</v>
      </c>
      <c r="B171" s="14">
        <v>1</v>
      </c>
    </row>
    <row r="172" spans="1:2">
      <c r="A172" s="3" t="s">
        <v>844</v>
      </c>
      <c r="B172" s="14">
        <v>1</v>
      </c>
    </row>
    <row r="173" spans="1:2">
      <c r="A173" s="3" t="s">
        <v>444</v>
      </c>
      <c r="B173" s="14">
        <v>1</v>
      </c>
    </row>
    <row r="174" spans="1:2">
      <c r="A174" s="3" t="s">
        <v>847</v>
      </c>
      <c r="B174" s="14">
        <v>1</v>
      </c>
    </row>
    <row r="175" spans="1:2">
      <c r="A175" s="3" t="s">
        <v>23</v>
      </c>
      <c r="B175" s="14">
        <v>851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00FA-4DE8-46D5-881E-28AD437C3119}">
  <dimension ref="A2:B100"/>
  <sheetViews>
    <sheetView workbookViewId="0"/>
  </sheetViews>
  <sheetFormatPr defaultRowHeight="15"/>
  <cols>
    <col min="1" max="1" width="15" bestFit="1" customWidth="1"/>
    <col min="2" max="2" width="13.28515625" bestFit="1" customWidth="1"/>
    <col min="3" max="3" width="14.5703125" bestFit="1" customWidth="1"/>
  </cols>
  <sheetData>
    <row r="2" spans="1:2">
      <c r="A2" s="2" t="s">
        <v>1</v>
      </c>
      <c r="B2" t="s">
        <v>128</v>
      </c>
    </row>
    <row r="4" spans="1:2">
      <c r="A4" s="2" t="s">
        <v>85</v>
      </c>
      <c r="B4" t="s">
        <v>86</v>
      </c>
    </row>
    <row r="5" spans="1:2">
      <c r="A5" s="3" t="s">
        <v>87</v>
      </c>
      <c r="B5" s="14">
        <v>10</v>
      </c>
    </row>
    <row r="6" spans="1:2">
      <c r="A6" s="3" t="s">
        <v>88</v>
      </c>
      <c r="B6" s="14">
        <v>8</v>
      </c>
    </row>
    <row r="7" spans="1:2">
      <c r="A7" s="3" t="s">
        <v>89</v>
      </c>
      <c r="B7" s="14">
        <v>6</v>
      </c>
    </row>
    <row r="8" spans="1:2">
      <c r="A8" s="3" t="s">
        <v>113</v>
      </c>
      <c r="B8" s="14">
        <v>9</v>
      </c>
    </row>
    <row r="9" spans="1:2">
      <c r="A9" s="3" t="s">
        <v>110</v>
      </c>
      <c r="B9" s="14">
        <v>10</v>
      </c>
    </row>
    <row r="10" spans="1:2">
      <c r="A10" s="3" t="s">
        <v>111</v>
      </c>
      <c r="B10" s="14">
        <v>4</v>
      </c>
    </row>
    <row r="11" spans="1:2">
      <c r="A11" s="3" t="s">
        <v>102</v>
      </c>
      <c r="B11" s="14">
        <v>8</v>
      </c>
    </row>
    <row r="12" spans="1:2">
      <c r="A12" s="3" t="s">
        <v>103</v>
      </c>
      <c r="B12" s="14">
        <v>9</v>
      </c>
    </row>
    <row r="13" spans="1:2">
      <c r="A13" s="3" t="s">
        <v>108</v>
      </c>
      <c r="B13" s="14">
        <v>13</v>
      </c>
    </row>
    <row r="14" spans="1:2">
      <c r="A14" s="3" t="s">
        <v>90</v>
      </c>
      <c r="B14" s="14">
        <v>6</v>
      </c>
    </row>
    <row r="15" spans="1:2">
      <c r="A15" s="3" t="s">
        <v>104</v>
      </c>
      <c r="B15" s="14">
        <v>3</v>
      </c>
    </row>
    <row r="16" spans="1:2">
      <c r="A16" s="3" t="s">
        <v>117</v>
      </c>
      <c r="B16" s="14">
        <v>3</v>
      </c>
    </row>
    <row r="17" spans="1:2">
      <c r="A17" s="3" t="s">
        <v>109</v>
      </c>
      <c r="B17" s="14">
        <v>5</v>
      </c>
    </row>
    <row r="18" spans="1:2">
      <c r="A18" s="3" t="s">
        <v>123</v>
      </c>
      <c r="B18" s="14">
        <v>9</v>
      </c>
    </row>
    <row r="19" spans="1:2">
      <c r="A19" s="3" t="s">
        <v>105</v>
      </c>
      <c r="B19" s="14">
        <v>1</v>
      </c>
    </row>
    <row r="20" spans="1:2">
      <c r="A20" s="3" t="s">
        <v>118</v>
      </c>
      <c r="B20" s="14">
        <v>1</v>
      </c>
    </row>
    <row r="21" spans="1:2">
      <c r="A21" s="3" t="s">
        <v>116</v>
      </c>
      <c r="B21" s="14">
        <v>3</v>
      </c>
    </row>
    <row r="22" spans="1:2">
      <c r="A22" s="3" t="s">
        <v>112</v>
      </c>
      <c r="B22" s="14">
        <v>1</v>
      </c>
    </row>
    <row r="23" spans="1:2">
      <c r="A23" s="3" t="s">
        <v>91</v>
      </c>
      <c r="B23" s="14">
        <v>4</v>
      </c>
    </row>
    <row r="24" spans="1:2">
      <c r="A24" s="3" t="s">
        <v>92</v>
      </c>
      <c r="B24" s="14">
        <v>4</v>
      </c>
    </row>
    <row r="25" spans="1:2">
      <c r="A25" s="3" t="s">
        <v>93</v>
      </c>
      <c r="B25" s="14">
        <v>4</v>
      </c>
    </row>
    <row r="26" spans="1:2">
      <c r="A26" s="3" t="s">
        <v>94</v>
      </c>
      <c r="B26" s="14">
        <v>2</v>
      </c>
    </row>
    <row r="27" spans="1:2">
      <c r="A27" s="3" t="s">
        <v>122</v>
      </c>
      <c r="B27" s="14">
        <v>3</v>
      </c>
    </row>
    <row r="28" spans="1:2">
      <c r="A28" s="3" t="s">
        <v>95</v>
      </c>
      <c r="B28" s="14">
        <v>2</v>
      </c>
    </row>
    <row r="29" spans="1:2">
      <c r="A29" s="3" t="s">
        <v>114</v>
      </c>
      <c r="B29" s="14">
        <v>7</v>
      </c>
    </row>
    <row r="30" spans="1:2">
      <c r="A30" s="3" t="s">
        <v>124</v>
      </c>
      <c r="B30" s="14">
        <v>5</v>
      </c>
    </row>
    <row r="31" spans="1:2">
      <c r="A31" s="3" t="s">
        <v>96</v>
      </c>
      <c r="B31" s="14">
        <v>8</v>
      </c>
    </row>
    <row r="32" spans="1:2">
      <c r="A32" s="3" t="s">
        <v>115</v>
      </c>
      <c r="B32" s="14">
        <v>5</v>
      </c>
    </row>
    <row r="33" spans="1:2">
      <c r="A33" s="3" t="s">
        <v>106</v>
      </c>
      <c r="B33" s="14">
        <v>9</v>
      </c>
    </row>
    <row r="34" spans="1:2">
      <c r="A34" s="3" t="s">
        <v>121</v>
      </c>
      <c r="B34" s="14">
        <v>17</v>
      </c>
    </row>
    <row r="35" spans="1:2">
      <c r="A35" s="3" t="s">
        <v>107</v>
      </c>
      <c r="B35" s="14">
        <v>24</v>
      </c>
    </row>
    <row r="36" spans="1:2">
      <c r="A36" s="3" t="s">
        <v>119</v>
      </c>
      <c r="B36" s="14">
        <v>23</v>
      </c>
    </row>
    <row r="37" spans="1:2">
      <c r="A37" s="3" t="s">
        <v>97</v>
      </c>
      <c r="B37" s="14">
        <v>18</v>
      </c>
    </row>
    <row r="38" spans="1:2">
      <c r="A38" s="3" t="s">
        <v>120</v>
      </c>
      <c r="B38" s="14">
        <v>10</v>
      </c>
    </row>
    <row r="39" spans="1:2">
      <c r="A39" s="3" t="s">
        <v>98</v>
      </c>
      <c r="B39" s="14">
        <v>8</v>
      </c>
    </row>
    <row r="40" spans="1:2">
      <c r="A40" s="3" t="s">
        <v>99</v>
      </c>
      <c r="B40" s="14">
        <v>17</v>
      </c>
    </row>
    <row r="41" spans="1:2">
      <c r="A41" s="3" t="s">
        <v>100</v>
      </c>
      <c r="B41" s="14">
        <v>22</v>
      </c>
    </row>
    <row r="42" spans="1:2">
      <c r="A42" s="3" t="s">
        <v>101</v>
      </c>
      <c r="B42" s="14">
        <v>14</v>
      </c>
    </row>
    <row r="43" spans="1:2">
      <c r="A43" s="3" t="s">
        <v>125</v>
      </c>
      <c r="B43" s="14">
        <v>7</v>
      </c>
    </row>
    <row r="44" spans="1:2">
      <c r="A44" s="3" t="s">
        <v>30</v>
      </c>
      <c r="B44" s="14">
        <v>12</v>
      </c>
    </row>
    <row r="45" spans="1:2">
      <c r="A45" s="3" t="s">
        <v>31</v>
      </c>
      <c r="B45" s="14">
        <v>13</v>
      </c>
    </row>
    <row r="46" spans="1:2">
      <c r="A46" s="3" t="s">
        <v>32</v>
      </c>
      <c r="B46" s="14">
        <v>14</v>
      </c>
    </row>
    <row r="47" spans="1:2">
      <c r="A47" s="3" t="s">
        <v>33</v>
      </c>
      <c r="B47" s="14">
        <v>8</v>
      </c>
    </row>
    <row r="48" spans="1:2">
      <c r="A48" s="3" t="s">
        <v>34</v>
      </c>
      <c r="B48" s="14">
        <v>15</v>
      </c>
    </row>
    <row r="49" spans="1:2">
      <c r="A49" s="3" t="s">
        <v>35</v>
      </c>
      <c r="B49" s="14">
        <v>12</v>
      </c>
    </row>
    <row r="50" spans="1:2">
      <c r="A50" s="3" t="s">
        <v>36</v>
      </c>
      <c r="B50" s="14">
        <v>11</v>
      </c>
    </row>
    <row r="51" spans="1:2">
      <c r="A51" s="3" t="s">
        <v>37</v>
      </c>
      <c r="B51" s="14">
        <v>7</v>
      </c>
    </row>
    <row r="52" spans="1:2">
      <c r="A52" s="3" t="s">
        <v>38</v>
      </c>
      <c r="B52" s="14">
        <v>11</v>
      </c>
    </row>
    <row r="53" spans="1:2">
      <c r="A53" s="3" t="s">
        <v>39</v>
      </c>
      <c r="B53" s="14">
        <v>13</v>
      </c>
    </row>
    <row r="54" spans="1:2">
      <c r="A54" s="3" t="s">
        <v>40</v>
      </c>
      <c r="B54" s="14">
        <v>10</v>
      </c>
    </row>
    <row r="55" spans="1:2">
      <c r="A55" s="3" t="s">
        <v>41</v>
      </c>
      <c r="B55" s="14">
        <v>7</v>
      </c>
    </row>
    <row r="56" spans="1:2">
      <c r="A56" s="3" t="s">
        <v>42</v>
      </c>
      <c r="B56" s="14">
        <v>19</v>
      </c>
    </row>
    <row r="57" spans="1:2">
      <c r="A57" s="3" t="s">
        <v>43</v>
      </c>
      <c r="B57" s="14">
        <v>10</v>
      </c>
    </row>
    <row r="58" spans="1:2">
      <c r="A58" s="3" t="s">
        <v>44</v>
      </c>
      <c r="B58" s="14">
        <v>9</v>
      </c>
    </row>
    <row r="59" spans="1:2">
      <c r="A59" s="3" t="s">
        <v>45</v>
      </c>
      <c r="B59" s="14">
        <v>16</v>
      </c>
    </row>
    <row r="60" spans="1:2">
      <c r="A60" s="3" t="s">
        <v>46</v>
      </c>
      <c r="B60" s="14">
        <v>12</v>
      </c>
    </row>
    <row r="61" spans="1:2">
      <c r="A61" s="3" t="s">
        <v>47</v>
      </c>
      <c r="B61" s="14">
        <v>11</v>
      </c>
    </row>
    <row r="62" spans="1:2">
      <c r="A62" s="3" t="s">
        <v>48</v>
      </c>
      <c r="B62" s="14">
        <v>10</v>
      </c>
    </row>
    <row r="63" spans="1:2">
      <c r="A63" s="3" t="s">
        <v>49</v>
      </c>
      <c r="B63" s="14">
        <v>12</v>
      </c>
    </row>
    <row r="64" spans="1:2">
      <c r="A64" s="3" t="s">
        <v>50</v>
      </c>
      <c r="B64" s="14">
        <v>15</v>
      </c>
    </row>
    <row r="65" spans="1:2">
      <c r="A65" s="3" t="s">
        <v>51</v>
      </c>
      <c r="B65" s="14">
        <v>8</v>
      </c>
    </row>
    <row r="66" spans="1:2">
      <c r="A66" s="3" t="s">
        <v>52</v>
      </c>
      <c r="B66" s="14">
        <v>15</v>
      </c>
    </row>
    <row r="67" spans="1:2">
      <c r="A67" s="3" t="s">
        <v>53</v>
      </c>
      <c r="B67" s="14">
        <v>13</v>
      </c>
    </row>
    <row r="68" spans="1:2">
      <c r="A68" s="3" t="s">
        <v>54</v>
      </c>
      <c r="B68" s="14">
        <v>13</v>
      </c>
    </row>
    <row r="69" spans="1:2">
      <c r="A69" s="3" t="s">
        <v>55</v>
      </c>
      <c r="B69" s="14">
        <v>17</v>
      </c>
    </row>
    <row r="70" spans="1:2">
      <c r="A70" s="3" t="s">
        <v>56</v>
      </c>
      <c r="B70" s="14">
        <v>5</v>
      </c>
    </row>
    <row r="71" spans="1:2">
      <c r="A71" s="3" t="s">
        <v>57</v>
      </c>
      <c r="B71" s="14">
        <v>2</v>
      </c>
    </row>
    <row r="72" spans="1:2">
      <c r="A72" s="3" t="s">
        <v>58</v>
      </c>
      <c r="B72" s="14">
        <v>8</v>
      </c>
    </row>
    <row r="73" spans="1:2">
      <c r="A73" s="3" t="s">
        <v>59</v>
      </c>
      <c r="B73" s="14">
        <v>10</v>
      </c>
    </row>
    <row r="74" spans="1:2">
      <c r="A74" s="3" t="s">
        <v>60</v>
      </c>
      <c r="B74" s="14">
        <v>10</v>
      </c>
    </row>
    <row r="75" spans="1:2">
      <c r="A75" s="3" t="s">
        <v>61</v>
      </c>
      <c r="B75" s="14">
        <v>6</v>
      </c>
    </row>
    <row r="76" spans="1:2">
      <c r="A76" s="3" t="s">
        <v>62</v>
      </c>
      <c r="B76" s="14">
        <v>11</v>
      </c>
    </row>
    <row r="77" spans="1:2">
      <c r="A77" s="3" t="s">
        <v>1254</v>
      </c>
      <c r="B77" s="14">
        <v>1</v>
      </c>
    </row>
    <row r="78" spans="1:2">
      <c r="A78" s="3" t="s">
        <v>63</v>
      </c>
      <c r="B78" s="14">
        <v>7</v>
      </c>
    </row>
    <row r="79" spans="1:2">
      <c r="A79" s="3" t="s">
        <v>64</v>
      </c>
      <c r="B79" s="14">
        <v>4</v>
      </c>
    </row>
    <row r="80" spans="1:2">
      <c r="A80" s="3" t="s">
        <v>65</v>
      </c>
      <c r="B80" s="14">
        <v>7</v>
      </c>
    </row>
    <row r="81" spans="1:2">
      <c r="A81" s="3" t="s">
        <v>66</v>
      </c>
      <c r="B81" s="14">
        <v>7</v>
      </c>
    </row>
    <row r="82" spans="1:2">
      <c r="A82" s="3" t="s">
        <v>67</v>
      </c>
      <c r="B82" s="14">
        <v>4</v>
      </c>
    </row>
    <row r="83" spans="1:2">
      <c r="A83" s="3" t="s">
        <v>68</v>
      </c>
      <c r="B83" s="14">
        <v>6</v>
      </c>
    </row>
    <row r="84" spans="1:2">
      <c r="A84" s="3" t="s">
        <v>69</v>
      </c>
      <c r="B84" s="14">
        <v>13</v>
      </c>
    </row>
    <row r="85" spans="1:2">
      <c r="A85" s="3" t="s">
        <v>70</v>
      </c>
      <c r="B85" s="14">
        <v>5</v>
      </c>
    </row>
    <row r="86" spans="1:2">
      <c r="A86" s="3" t="s">
        <v>71</v>
      </c>
      <c r="B86" s="14">
        <v>11</v>
      </c>
    </row>
    <row r="87" spans="1:2">
      <c r="A87" s="3" t="s">
        <v>72</v>
      </c>
      <c r="B87" s="14">
        <v>8</v>
      </c>
    </row>
    <row r="88" spans="1:2">
      <c r="A88" s="3" t="s">
        <v>73</v>
      </c>
      <c r="B88" s="14">
        <v>9</v>
      </c>
    </row>
    <row r="89" spans="1:2">
      <c r="A89" s="3" t="s">
        <v>74</v>
      </c>
      <c r="B89" s="14">
        <v>4</v>
      </c>
    </row>
    <row r="90" spans="1:2">
      <c r="A90" s="3" t="s">
        <v>75</v>
      </c>
      <c r="B90" s="14">
        <v>13</v>
      </c>
    </row>
    <row r="91" spans="1:2">
      <c r="A91" s="3" t="s">
        <v>76</v>
      </c>
      <c r="B91" s="14">
        <v>3</v>
      </c>
    </row>
    <row r="92" spans="1:2">
      <c r="A92" s="3" t="s">
        <v>77</v>
      </c>
      <c r="B92" s="14">
        <v>4</v>
      </c>
    </row>
    <row r="93" spans="1:2">
      <c r="A93" s="3" t="s">
        <v>78</v>
      </c>
      <c r="B93" s="14">
        <v>8</v>
      </c>
    </row>
    <row r="94" spans="1:2">
      <c r="A94" s="3" t="s">
        <v>79</v>
      </c>
      <c r="B94" s="14">
        <v>10</v>
      </c>
    </row>
    <row r="95" spans="1:2">
      <c r="A95" s="3" t="s">
        <v>80</v>
      </c>
      <c r="B95" s="14">
        <v>5</v>
      </c>
    </row>
    <row r="96" spans="1:2">
      <c r="A96" s="3" t="s">
        <v>81</v>
      </c>
      <c r="B96" s="14">
        <v>14</v>
      </c>
    </row>
    <row r="97" spans="1:2">
      <c r="A97" s="3" t="s">
        <v>82</v>
      </c>
      <c r="B97" s="14">
        <v>13</v>
      </c>
    </row>
    <row r="98" spans="1:2">
      <c r="A98" s="3" t="s">
        <v>83</v>
      </c>
      <c r="B98" s="14">
        <v>5</v>
      </c>
    </row>
    <row r="99" spans="1:2">
      <c r="A99" s="3" t="s">
        <v>84</v>
      </c>
      <c r="B99" s="14">
        <v>6</v>
      </c>
    </row>
    <row r="100" spans="1:2">
      <c r="A100" s="3" t="s">
        <v>23</v>
      </c>
      <c r="B100" s="14">
        <v>854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E054-BAB2-4A83-AB3C-46323EA4DC76}">
  <dimension ref="A2:B11"/>
  <sheetViews>
    <sheetView workbookViewId="0"/>
  </sheetViews>
  <sheetFormatPr defaultRowHeight="15"/>
  <cols>
    <col min="1" max="1" width="15" bestFit="1" customWidth="1"/>
    <col min="2" max="2" width="13.28515625" bestFit="1" customWidth="1"/>
    <col min="3" max="3" width="14.5703125" bestFit="1" customWidth="1"/>
  </cols>
  <sheetData>
    <row r="2" spans="1:2">
      <c r="A2" s="2" t="s">
        <v>1</v>
      </c>
      <c r="B2" t="s">
        <v>128</v>
      </c>
    </row>
    <row r="4" spans="1:2">
      <c r="A4" s="2" t="s">
        <v>85</v>
      </c>
      <c r="B4" t="s">
        <v>86</v>
      </c>
    </row>
    <row r="5" spans="1:2">
      <c r="A5" s="3" t="s">
        <v>1192</v>
      </c>
      <c r="B5" s="14">
        <v>3</v>
      </c>
    </row>
    <row r="6" spans="1:2">
      <c r="A6" s="3" t="s">
        <v>130</v>
      </c>
      <c r="B6" s="14">
        <v>83</v>
      </c>
    </row>
    <row r="7" spans="1:2">
      <c r="A7" s="3" t="s">
        <v>131</v>
      </c>
      <c r="B7" s="14">
        <v>160</v>
      </c>
    </row>
    <row r="8" spans="1:2">
      <c r="A8" s="3" t="s">
        <v>132</v>
      </c>
      <c r="B8" s="14">
        <v>224</v>
      </c>
    </row>
    <row r="9" spans="1:2">
      <c r="A9" s="3" t="s">
        <v>133</v>
      </c>
      <c r="B9" s="14">
        <v>341</v>
      </c>
    </row>
    <row r="10" spans="1:2">
      <c r="A10" s="3" t="s">
        <v>1255</v>
      </c>
      <c r="B10" s="14">
        <v>43</v>
      </c>
    </row>
    <row r="11" spans="1:2">
      <c r="A11" s="3" t="s">
        <v>23</v>
      </c>
      <c r="B11" s="14">
        <v>854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Log</vt:lpstr>
      <vt:lpstr>Searches By User</vt:lpstr>
      <vt:lpstr>Searches By Reason</vt:lpstr>
      <vt:lpstr>SearchesByTimeOfDay</vt:lpstr>
      <vt:lpstr>SearchesOverTime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May</dc:creator>
  <cp:lastModifiedBy>Seth May</cp:lastModifiedBy>
  <dcterms:created xsi:type="dcterms:W3CDTF">2025-08-29T18:25:56Z</dcterms:created>
  <dcterms:modified xsi:type="dcterms:W3CDTF">2025-10-15T18:33:03Z</dcterms:modified>
</cp:coreProperties>
</file>